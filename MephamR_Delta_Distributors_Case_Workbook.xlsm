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obert's Stuff\College\UTK\Class Work\Spring 2024\BUAD 503\Module 9\Case\"/>
    </mc:Choice>
  </mc:AlternateContent>
  <xr:revisionPtr revIDLastSave="0" documentId="13_ncr:1_{7318A42C-B12C-4FE6-B7C4-809504EA2CAE}" xr6:coauthVersionLast="47" xr6:coauthVersionMax="47" xr10:uidLastSave="{00000000-0000-0000-0000-000000000000}"/>
  <bookViews>
    <workbookView xWindow="-120" yWindow="-120" windowWidth="29040" windowHeight="15720" xr2:uid="{F89413B6-14DE-4B4E-8D97-2525A97D58C7}"/>
  </bookViews>
  <sheets>
    <sheet name="Manager Sheet" sheetId="3" r:id="rId1"/>
    <sheet name="Constants Sheet" sheetId="4" r:id="rId2"/>
    <sheet name="Calculation Sheet" sheetId="5" r:id="rId3"/>
    <sheet name="Data Sheet" sheetId="2" r:id="rId4"/>
    <sheet name="Documentation Sheet" sheetId="1" r:id="rId5"/>
  </sheets>
  <definedNames>
    <definedName name="ExternalData_1" localSheetId="3" hidden="1">'Data Sheet'!$A$1:$D$366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5" l="1"/>
  <c r="E13" i="4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9" i="5"/>
  <c r="Q10" i="5" l="1"/>
  <c r="Z10" i="5" s="1"/>
  <c r="Q11" i="5"/>
  <c r="Z11" i="5" s="1"/>
  <c r="Q12" i="5"/>
  <c r="Z12" i="5" s="1"/>
  <c r="Q13" i="5"/>
  <c r="Z13" i="5" s="1"/>
  <c r="Q14" i="5"/>
  <c r="Z14" i="5" s="1"/>
  <c r="Q15" i="5"/>
  <c r="Z15" i="5" s="1"/>
  <c r="Q16" i="5"/>
  <c r="Z16" i="5" s="1"/>
  <c r="Q17" i="5"/>
  <c r="Z17" i="5" s="1"/>
  <c r="Q18" i="5"/>
  <c r="Z18" i="5" s="1"/>
  <c r="Q19" i="5"/>
  <c r="Z19" i="5" s="1"/>
  <c r="Q20" i="5"/>
  <c r="Z20" i="5" s="1"/>
  <c r="Q21" i="5"/>
  <c r="Z21" i="5" s="1"/>
  <c r="Q22" i="5"/>
  <c r="Z22" i="5" s="1"/>
  <c r="Q23" i="5"/>
  <c r="Z23" i="5" s="1"/>
  <c r="Q24" i="5"/>
  <c r="Z24" i="5" s="1"/>
  <c r="Q25" i="5"/>
  <c r="Z25" i="5" s="1"/>
  <c r="Q26" i="5"/>
  <c r="Z26" i="5" s="1"/>
  <c r="Q27" i="5"/>
  <c r="Z27" i="5" s="1"/>
  <c r="Q28" i="5"/>
  <c r="Z28" i="5" s="1"/>
  <c r="Q29" i="5"/>
  <c r="Z29" i="5" s="1"/>
  <c r="Q30" i="5"/>
  <c r="Z30" i="5" s="1"/>
  <c r="Q31" i="5"/>
  <c r="Z31" i="5" s="1"/>
  <c r="Q32" i="5"/>
  <c r="Z32" i="5" s="1"/>
  <c r="Q33" i="5"/>
  <c r="Z33" i="5" s="1"/>
  <c r="Q34" i="5"/>
  <c r="Z34" i="5" s="1"/>
  <c r="Q35" i="5"/>
  <c r="Z35" i="5" s="1"/>
  <c r="Q36" i="5"/>
  <c r="Z36" i="5" s="1"/>
  <c r="Q37" i="5"/>
  <c r="Z37" i="5" s="1"/>
  <c r="Q38" i="5"/>
  <c r="Z38" i="5" s="1"/>
  <c r="Q39" i="5"/>
  <c r="Z39" i="5" s="1"/>
  <c r="Q40" i="5"/>
  <c r="Z40" i="5" s="1"/>
  <c r="Q41" i="5"/>
  <c r="Z41" i="5" s="1"/>
  <c r="Q42" i="5"/>
  <c r="Z42" i="5" s="1"/>
  <c r="Q43" i="5"/>
  <c r="Z43" i="5" s="1"/>
  <c r="Q44" i="5"/>
  <c r="Z44" i="5" s="1"/>
  <c r="Q45" i="5"/>
  <c r="Z45" i="5" s="1"/>
  <c r="Q46" i="5"/>
  <c r="Z46" i="5" s="1"/>
  <c r="Q47" i="5"/>
  <c r="Z47" i="5" s="1"/>
  <c r="Q48" i="5"/>
  <c r="Z48" i="5" s="1"/>
  <c r="Q49" i="5"/>
  <c r="Z49" i="5" s="1"/>
  <c r="Q50" i="5"/>
  <c r="Z50" i="5" s="1"/>
  <c r="Q51" i="5"/>
  <c r="Z51" i="5" s="1"/>
  <c r="Q52" i="5"/>
  <c r="Z52" i="5" s="1"/>
  <c r="Q53" i="5"/>
  <c r="Z53" i="5" s="1"/>
  <c r="Q54" i="5"/>
  <c r="Z54" i="5" s="1"/>
  <c r="Q55" i="5"/>
  <c r="Z55" i="5" s="1"/>
  <c r="Q56" i="5"/>
  <c r="Z56" i="5" s="1"/>
  <c r="Q57" i="5"/>
  <c r="Z57" i="5" s="1"/>
  <c r="Q58" i="5"/>
  <c r="Z58" i="5" s="1"/>
  <c r="Q59" i="5"/>
  <c r="Z59" i="5" s="1"/>
  <c r="Q60" i="5"/>
  <c r="Z60" i="5" s="1"/>
  <c r="Q61" i="5"/>
  <c r="Z61" i="5" s="1"/>
  <c r="Q62" i="5"/>
  <c r="Z62" i="5" s="1"/>
  <c r="Q63" i="5"/>
  <c r="Z63" i="5" s="1"/>
  <c r="Q64" i="5"/>
  <c r="Z64" i="5" s="1"/>
  <c r="Q65" i="5"/>
  <c r="Z65" i="5" s="1"/>
  <c r="Q66" i="5"/>
  <c r="Z66" i="5" s="1"/>
  <c r="Q67" i="5"/>
  <c r="Z67" i="5" s="1"/>
  <c r="Q68" i="5"/>
  <c r="Z68" i="5" s="1"/>
  <c r="Q69" i="5"/>
  <c r="Z69" i="5" s="1"/>
  <c r="Q70" i="5"/>
  <c r="Z70" i="5" s="1"/>
  <c r="Q71" i="5"/>
  <c r="Z71" i="5" s="1"/>
  <c r="Q72" i="5"/>
  <c r="Z72" i="5" s="1"/>
  <c r="Q73" i="5"/>
  <c r="Z73" i="5" s="1"/>
  <c r="Q74" i="5"/>
  <c r="Z74" i="5" s="1"/>
  <c r="Q75" i="5"/>
  <c r="Z75" i="5" s="1"/>
  <c r="Q76" i="5"/>
  <c r="Z76" i="5" s="1"/>
  <c r="Q77" i="5"/>
  <c r="Z77" i="5" s="1"/>
  <c r="Q78" i="5"/>
  <c r="Z78" i="5" s="1"/>
  <c r="Q79" i="5"/>
  <c r="Z79" i="5" s="1"/>
  <c r="Q80" i="5"/>
  <c r="Z80" i="5" s="1"/>
  <c r="Q81" i="5"/>
  <c r="Z81" i="5" s="1"/>
  <c r="Q82" i="5"/>
  <c r="Z82" i="5" s="1"/>
  <c r="Q83" i="5"/>
  <c r="Z83" i="5" s="1"/>
  <c r="Q84" i="5"/>
  <c r="Z84" i="5" s="1"/>
  <c r="Q85" i="5"/>
  <c r="Z85" i="5" s="1"/>
  <c r="Q86" i="5"/>
  <c r="Z86" i="5" s="1"/>
  <c r="Q87" i="5"/>
  <c r="Z87" i="5" s="1"/>
  <c r="Q88" i="5"/>
  <c r="Z88" i="5" s="1"/>
  <c r="Q89" i="5"/>
  <c r="Z89" i="5" s="1"/>
  <c r="Q90" i="5"/>
  <c r="Z90" i="5" s="1"/>
  <c r="Q91" i="5"/>
  <c r="Z91" i="5" s="1"/>
  <c r="Q92" i="5"/>
  <c r="Z92" i="5" s="1"/>
  <c r="Q93" i="5"/>
  <c r="Z93" i="5" s="1"/>
  <c r="Q94" i="5"/>
  <c r="Z94" i="5" s="1"/>
  <c r="Q95" i="5"/>
  <c r="Z95" i="5" s="1"/>
  <c r="Q96" i="5"/>
  <c r="Z96" i="5" s="1"/>
  <c r="Q97" i="5"/>
  <c r="Z97" i="5" s="1"/>
  <c r="Q98" i="5"/>
  <c r="Z98" i="5" s="1"/>
  <c r="Q99" i="5"/>
  <c r="Z99" i="5" s="1"/>
  <c r="Q100" i="5"/>
  <c r="Z100" i="5" s="1"/>
  <c r="Q101" i="5"/>
  <c r="Z101" i="5" s="1"/>
  <c r="Q102" i="5"/>
  <c r="Z102" i="5" s="1"/>
  <c r="Q103" i="5"/>
  <c r="Z103" i="5" s="1"/>
  <c r="Q104" i="5"/>
  <c r="Z104" i="5" s="1"/>
  <c r="Q105" i="5"/>
  <c r="Z105" i="5" s="1"/>
  <c r="Q106" i="5"/>
  <c r="Z106" i="5" s="1"/>
  <c r="Q107" i="5"/>
  <c r="Z107" i="5" s="1"/>
  <c r="Q108" i="5"/>
  <c r="Z108" i="5" s="1"/>
  <c r="Q109" i="5"/>
  <c r="Z109" i="5" s="1"/>
  <c r="Q110" i="5"/>
  <c r="Z110" i="5" s="1"/>
  <c r="Q111" i="5"/>
  <c r="Z111" i="5" s="1"/>
  <c r="Q112" i="5"/>
  <c r="Z112" i="5" s="1"/>
  <c r="Q113" i="5"/>
  <c r="Z113" i="5" s="1"/>
  <c r="Q114" i="5"/>
  <c r="Z114" i="5" s="1"/>
  <c r="Q115" i="5"/>
  <c r="Z115" i="5" s="1"/>
  <c r="Q116" i="5"/>
  <c r="Z116" i="5" s="1"/>
  <c r="Q117" i="5"/>
  <c r="Z117" i="5" s="1"/>
  <c r="Q118" i="5"/>
  <c r="Z118" i="5" s="1"/>
  <c r="Q119" i="5"/>
  <c r="Z119" i="5" s="1"/>
  <c r="Q120" i="5"/>
  <c r="Z120" i="5" s="1"/>
  <c r="Q121" i="5"/>
  <c r="Z121" i="5" s="1"/>
  <c r="Q122" i="5"/>
  <c r="Z122" i="5" s="1"/>
  <c r="Q123" i="5"/>
  <c r="Z123" i="5" s="1"/>
  <c r="Q124" i="5"/>
  <c r="Z124" i="5" s="1"/>
  <c r="Q125" i="5"/>
  <c r="Z125" i="5" s="1"/>
  <c r="Q126" i="5"/>
  <c r="Z126" i="5" s="1"/>
  <c r="Q127" i="5"/>
  <c r="Z127" i="5" s="1"/>
  <c r="Q128" i="5"/>
  <c r="Z128" i="5" s="1"/>
  <c r="Q129" i="5"/>
  <c r="Z129" i="5" s="1"/>
  <c r="Q130" i="5"/>
  <c r="Z130" i="5" s="1"/>
  <c r="Q131" i="5"/>
  <c r="Z131" i="5" s="1"/>
  <c r="Q132" i="5"/>
  <c r="Z132" i="5" s="1"/>
  <c r="Q133" i="5"/>
  <c r="Z133" i="5" s="1"/>
  <c r="Q134" i="5"/>
  <c r="Z134" i="5" s="1"/>
  <c r="Q135" i="5"/>
  <c r="Z135" i="5" s="1"/>
  <c r="Q136" i="5"/>
  <c r="Z136" i="5" s="1"/>
  <c r="Q137" i="5"/>
  <c r="Z137" i="5" s="1"/>
  <c r="Q138" i="5"/>
  <c r="Z138" i="5" s="1"/>
  <c r="Q139" i="5"/>
  <c r="Z139" i="5" s="1"/>
  <c r="Q140" i="5"/>
  <c r="Z140" i="5" s="1"/>
  <c r="Q141" i="5"/>
  <c r="Z141" i="5" s="1"/>
  <c r="Q142" i="5"/>
  <c r="Z142" i="5" s="1"/>
  <c r="Q143" i="5"/>
  <c r="Z143" i="5" s="1"/>
  <c r="Q144" i="5"/>
  <c r="Z144" i="5" s="1"/>
  <c r="Q145" i="5"/>
  <c r="Z145" i="5" s="1"/>
  <c r="Q146" i="5"/>
  <c r="Z146" i="5" s="1"/>
  <c r="Q147" i="5"/>
  <c r="Z147" i="5" s="1"/>
  <c r="Q148" i="5"/>
  <c r="Z148" i="5" s="1"/>
  <c r="Q149" i="5"/>
  <c r="Z149" i="5" s="1"/>
  <c r="Q150" i="5"/>
  <c r="Z150" i="5" s="1"/>
  <c r="Q151" i="5"/>
  <c r="Z151" i="5" s="1"/>
  <c r="Q152" i="5"/>
  <c r="Z152" i="5" s="1"/>
  <c r="Q153" i="5"/>
  <c r="Z153" i="5" s="1"/>
  <c r="Q154" i="5"/>
  <c r="Z154" i="5" s="1"/>
  <c r="Q155" i="5"/>
  <c r="Z155" i="5" s="1"/>
  <c r="Q156" i="5"/>
  <c r="Z156" i="5" s="1"/>
  <c r="Q157" i="5"/>
  <c r="Z157" i="5" s="1"/>
  <c r="Q158" i="5"/>
  <c r="Z158" i="5" s="1"/>
  <c r="Q159" i="5"/>
  <c r="Z159" i="5" s="1"/>
  <c r="Q160" i="5"/>
  <c r="Z160" i="5" s="1"/>
  <c r="Q161" i="5"/>
  <c r="Z161" i="5" s="1"/>
  <c r="Q162" i="5"/>
  <c r="Z162" i="5" s="1"/>
  <c r="Q163" i="5"/>
  <c r="Z163" i="5" s="1"/>
  <c r="Q164" i="5"/>
  <c r="Z164" i="5" s="1"/>
  <c r="Q165" i="5"/>
  <c r="Z165" i="5" s="1"/>
  <c r="Q166" i="5"/>
  <c r="Z166" i="5" s="1"/>
  <c r="Q167" i="5"/>
  <c r="Z167" i="5" s="1"/>
  <c r="Q168" i="5"/>
  <c r="Z168" i="5" s="1"/>
  <c r="Q169" i="5"/>
  <c r="Z169" i="5" s="1"/>
  <c r="Q170" i="5"/>
  <c r="Z170" i="5" s="1"/>
  <c r="Q171" i="5"/>
  <c r="Z171" i="5" s="1"/>
  <c r="Q172" i="5"/>
  <c r="Z172" i="5" s="1"/>
  <c r="Q173" i="5"/>
  <c r="Z173" i="5" s="1"/>
  <c r="Q174" i="5"/>
  <c r="Z174" i="5" s="1"/>
  <c r="Q175" i="5"/>
  <c r="Z175" i="5" s="1"/>
  <c r="Q176" i="5"/>
  <c r="Z176" i="5" s="1"/>
  <c r="Q177" i="5"/>
  <c r="Z177" i="5" s="1"/>
  <c r="Q178" i="5"/>
  <c r="Z178" i="5" s="1"/>
  <c r="Q179" i="5"/>
  <c r="Z179" i="5" s="1"/>
  <c r="Q180" i="5"/>
  <c r="Z180" i="5" s="1"/>
  <c r="Q181" i="5"/>
  <c r="Z181" i="5" s="1"/>
  <c r="Q182" i="5"/>
  <c r="Z182" i="5" s="1"/>
  <c r="Q183" i="5"/>
  <c r="Z183" i="5" s="1"/>
  <c r="Q184" i="5"/>
  <c r="Z184" i="5" s="1"/>
  <c r="Q185" i="5"/>
  <c r="Z185" i="5" s="1"/>
  <c r="Q186" i="5"/>
  <c r="Z186" i="5" s="1"/>
  <c r="Q187" i="5"/>
  <c r="Z187" i="5" s="1"/>
  <c r="Q188" i="5"/>
  <c r="Z188" i="5" s="1"/>
  <c r="Q189" i="5"/>
  <c r="Z189" i="5" s="1"/>
  <c r="Q190" i="5"/>
  <c r="Z190" i="5" s="1"/>
  <c r="Q191" i="5"/>
  <c r="Z191" i="5" s="1"/>
  <c r="Q192" i="5"/>
  <c r="Z192" i="5" s="1"/>
  <c r="Q193" i="5"/>
  <c r="Z193" i="5" s="1"/>
  <c r="Q194" i="5"/>
  <c r="Z194" i="5" s="1"/>
  <c r="Q195" i="5"/>
  <c r="Z195" i="5" s="1"/>
  <c r="Q196" i="5"/>
  <c r="Z196" i="5" s="1"/>
  <c r="Q197" i="5"/>
  <c r="Z197" i="5" s="1"/>
  <c r="Q198" i="5"/>
  <c r="Z198" i="5" s="1"/>
  <c r="Q199" i="5"/>
  <c r="Z199" i="5" s="1"/>
  <c r="Q200" i="5"/>
  <c r="Z200" i="5" s="1"/>
  <c r="Q201" i="5"/>
  <c r="Z201" i="5" s="1"/>
  <c r="Q202" i="5"/>
  <c r="Z202" i="5" s="1"/>
  <c r="Q203" i="5"/>
  <c r="Z203" i="5" s="1"/>
  <c r="Q204" i="5"/>
  <c r="Z204" i="5" s="1"/>
  <c r="Q205" i="5"/>
  <c r="Z205" i="5" s="1"/>
  <c r="Q206" i="5"/>
  <c r="Z206" i="5" s="1"/>
  <c r="Q207" i="5"/>
  <c r="Z207" i="5" s="1"/>
  <c r="Q208" i="5"/>
  <c r="Z208" i="5" s="1"/>
  <c r="Q209" i="5"/>
  <c r="Z209" i="5" s="1"/>
  <c r="Q210" i="5"/>
  <c r="Z210" i="5" s="1"/>
  <c r="Q211" i="5"/>
  <c r="Z211" i="5" s="1"/>
  <c r="Q212" i="5"/>
  <c r="Z212" i="5" s="1"/>
  <c r="Q213" i="5"/>
  <c r="Z213" i="5" s="1"/>
  <c r="Q214" i="5"/>
  <c r="Z214" i="5" s="1"/>
  <c r="Q215" i="5"/>
  <c r="Z215" i="5" s="1"/>
  <c r="Q216" i="5"/>
  <c r="Z216" i="5" s="1"/>
  <c r="Q217" i="5"/>
  <c r="Z217" i="5" s="1"/>
  <c r="Q218" i="5"/>
  <c r="Z218" i="5" s="1"/>
  <c r="Q219" i="5"/>
  <c r="Z219" i="5" s="1"/>
  <c r="Q220" i="5"/>
  <c r="Z220" i="5" s="1"/>
  <c r="Q221" i="5"/>
  <c r="Z221" i="5" s="1"/>
  <c r="Q222" i="5"/>
  <c r="Z222" i="5" s="1"/>
  <c r="Q223" i="5"/>
  <c r="Z223" i="5" s="1"/>
  <c r="Q224" i="5"/>
  <c r="Z224" i="5" s="1"/>
  <c r="Q225" i="5"/>
  <c r="Z225" i="5" s="1"/>
  <c r="Q226" i="5"/>
  <c r="Z226" i="5" s="1"/>
  <c r="Q227" i="5"/>
  <c r="Z227" i="5" s="1"/>
  <c r="Q228" i="5"/>
  <c r="Z228" i="5" s="1"/>
  <c r="Q229" i="5"/>
  <c r="Z229" i="5" s="1"/>
  <c r="Q230" i="5"/>
  <c r="Z230" i="5" s="1"/>
  <c r="Q231" i="5"/>
  <c r="Z231" i="5" s="1"/>
  <c r="Q232" i="5"/>
  <c r="Z232" i="5" s="1"/>
  <c r="Q233" i="5"/>
  <c r="Z233" i="5" s="1"/>
  <c r="Q234" i="5"/>
  <c r="Z234" i="5" s="1"/>
  <c r="Q235" i="5"/>
  <c r="Z235" i="5" s="1"/>
  <c r="Q236" i="5"/>
  <c r="Z236" i="5" s="1"/>
  <c r="Q237" i="5"/>
  <c r="Z237" i="5" s="1"/>
  <c r="Q238" i="5"/>
  <c r="Z238" i="5" s="1"/>
  <c r="Q239" i="5"/>
  <c r="Z239" i="5" s="1"/>
  <c r="Q240" i="5"/>
  <c r="Z240" i="5" s="1"/>
  <c r="Q241" i="5"/>
  <c r="Z241" i="5" s="1"/>
  <c r="Q242" i="5"/>
  <c r="Z242" i="5" s="1"/>
  <c r="Q243" i="5"/>
  <c r="Z243" i="5" s="1"/>
  <c r="Q244" i="5"/>
  <c r="Z244" i="5" s="1"/>
  <c r="Q245" i="5"/>
  <c r="Z245" i="5" s="1"/>
  <c r="Q246" i="5"/>
  <c r="Z246" i="5" s="1"/>
  <c r="Q247" i="5"/>
  <c r="Z247" i="5" s="1"/>
  <c r="Q248" i="5"/>
  <c r="Z248" i="5" s="1"/>
  <c r="Q249" i="5"/>
  <c r="Z249" i="5" s="1"/>
  <c r="Q250" i="5"/>
  <c r="Z250" i="5" s="1"/>
  <c r="Q251" i="5"/>
  <c r="Z251" i="5" s="1"/>
  <c r="Q252" i="5"/>
  <c r="Z252" i="5" s="1"/>
  <c r="Q253" i="5"/>
  <c r="Z253" i="5" s="1"/>
  <c r="Q254" i="5"/>
  <c r="Z254" i="5" s="1"/>
  <c r="Q255" i="5"/>
  <c r="Z255" i="5" s="1"/>
  <c r="Q256" i="5"/>
  <c r="Z256" i="5" s="1"/>
  <c r="Q257" i="5"/>
  <c r="Z257" i="5" s="1"/>
  <c r="Q258" i="5"/>
  <c r="Z258" i="5" s="1"/>
  <c r="Q259" i="5"/>
  <c r="Z259" i="5" s="1"/>
  <c r="Q260" i="5"/>
  <c r="Z260" i="5" s="1"/>
  <c r="Q261" i="5"/>
  <c r="Z261" i="5" s="1"/>
  <c r="Q262" i="5"/>
  <c r="Z262" i="5" s="1"/>
  <c r="Q263" i="5"/>
  <c r="Z263" i="5" s="1"/>
  <c r="Q264" i="5"/>
  <c r="Z264" i="5" s="1"/>
  <c r="Q265" i="5"/>
  <c r="Z265" i="5" s="1"/>
  <c r="Q266" i="5"/>
  <c r="Z266" i="5" s="1"/>
  <c r="Q267" i="5"/>
  <c r="Z267" i="5" s="1"/>
  <c r="Q268" i="5"/>
  <c r="Z268" i="5" s="1"/>
  <c r="Q269" i="5"/>
  <c r="Z269" i="5" s="1"/>
  <c r="Q270" i="5"/>
  <c r="Z270" i="5" s="1"/>
  <c r="Q271" i="5"/>
  <c r="Z271" i="5" s="1"/>
  <c r="Q272" i="5"/>
  <c r="Z272" i="5" s="1"/>
  <c r="Q273" i="5"/>
  <c r="Z273" i="5" s="1"/>
  <c r="Q274" i="5"/>
  <c r="Z274" i="5" s="1"/>
  <c r="Q275" i="5"/>
  <c r="Z275" i="5" s="1"/>
  <c r="Q276" i="5"/>
  <c r="Z276" i="5" s="1"/>
  <c r="Q277" i="5"/>
  <c r="Z277" i="5" s="1"/>
  <c r="Q278" i="5"/>
  <c r="Z278" i="5" s="1"/>
  <c r="Q279" i="5"/>
  <c r="Z279" i="5" s="1"/>
  <c r="Q280" i="5"/>
  <c r="Z280" i="5" s="1"/>
  <c r="Q281" i="5"/>
  <c r="Z281" i="5" s="1"/>
  <c r="Q282" i="5"/>
  <c r="Z282" i="5" s="1"/>
  <c r="Q283" i="5"/>
  <c r="Z283" i="5" s="1"/>
  <c r="Q284" i="5"/>
  <c r="Z284" i="5" s="1"/>
  <c r="Q285" i="5"/>
  <c r="Z285" i="5" s="1"/>
  <c r="Q286" i="5"/>
  <c r="Z286" i="5" s="1"/>
  <c r="Q287" i="5"/>
  <c r="Z287" i="5" s="1"/>
  <c r="Q288" i="5"/>
  <c r="Z288" i="5" s="1"/>
  <c r="Q289" i="5"/>
  <c r="Z289" i="5" s="1"/>
  <c r="Q290" i="5"/>
  <c r="Z290" i="5" s="1"/>
  <c r="Q291" i="5"/>
  <c r="Z291" i="5" s="1"/>
  <c r="Q292" i="5"/>
  <c r="Z292" i="5" s="1"/>
  <c r="Q293" i="5"/>
  <c r="Z293" i="5" s="1"/>
  <c r="Q294" i="5"/>
  <c r="Z294" i="5" s="1"/>
  <c r="Q295" i="5"/>
  <c r="Z295" i="5" s="1"/>
  <c r="Q296" i="5"/>
  <c r="Z296" i="5" s="1"/>
  <c r="Q297" i="5"/>
  <c r="Z297" i="5" s="1"/>
  <c r="Q298" i="5"/>
  <c r="Z298" i="5" s="1"/>
  <c r="Q299" i="5"/>
  <c r="Z299" i="5" s="1"/>
  <c r="Q300" i="5"/>
  <c r="Z300" i="5" s="1"/>
  <c r="Q301" i="5"/>
  <c r="Z301" i="5" s="1"/>
  <c r="Q302" i="5"/>
  <c r="Z302" i="5" s="1"/>
  <c r="Q303" i="5"/>
  <c r="Z303" i="5" s="1"/>
  <c r="Q304" i="5"/>
  <c r="Z304" i="5" s="1"/>
  <c r="Q305" i="5"/>
  <c r="Z305" i="5" s="1"/>
  <c r="Q306" i="5"/>
  <c r="Z306" i="5" s="1"/>
  <c r="Q307" i="5"/>
  <c r="Z307" i="5" s="1"/>
  <c r="Q308" i="5"/>
  <c r="Z308" i="5" s="1"/>
  <c r="Q309" i="5"/>
  <c r="Z309" i="5" s="1"/>
  <c r="Q310" i="5"/>
  <c r="Z310" i="5" s="1"/>
  <c r="Q311" i="5"/>
  <c r="Z311" i="5" s="1"/>
  <c r="Q312" i="5"/>
  <c r="Z312" i="5" s="1"/>
  <c r="Q313" i="5"/>
  <c r="Z313" i="5" s="1"/>
  <c r="Q314" i="5"/>
  <c r="Z314" i="5" s="1"/>
  <c r="Q315" i="5"/>
  <c r="Z315" i="5" s="1"/>
  <c r="Q316" i="5"/>
  <c r="Z316" i="5" s="1"/>
  <c r="Q317" i="5"/>
  <c r="Z317" i="5" s="1"/>
  <c r="Q318" i="5"/>
  <c r="Z318" i="5" s="1"/>
  <c r="Q319" i="5"/>
  <c r="Z319" i="5" s="1"/>
  <c r="Q320" i="5"/>
  <c r="Z320" i="5" s="1"/>
  <c r="Q321" i="5"/>
  <c r="Z321" i="5" s="1"/>
  <c r="Q322" i="5"/>
  <c r="Z322" i="5" s="1"/>
  <c r="Q323" i="5"/>
  <c r="Z323" i="5" s="1"/>
  <c r="Q324" i="5"/>
  <c r="Z324" i="5" s="1"/>
  <c r="Q325" i="5"/>
  <c r="Z325" i="5" s="1"/>
  <c r="Q326" i="5"/>
  <c r="Z326" i="5" s="1"/>
  <c r="Q327" i="5"/>
  <c r="Z327" i="5" s="1"/>
  <c r="Q328" i="5"/>
  <c r="Z328" i="5" s="1"/>
  <c r="Q329" i="5"/>
  <c r="Z329" i="5" s="1"/>
  <c r="Q330" i="5"/>
  <c r="Z330" i="5" s="1"/>
  <c r="Q331" i="5"/>
  <c r="Z331" i="5" s="1"/>
  <c r="Q332" i="5"/>
  <c r="Z332" i="5" s="1"/>
  <c r="Q333" i="5"/>
  <c r="Z333" i="5" s="1"/>
  <c r="Q334" i="5"/>
  <c r="Z334" i="5" s="1"/>
  <c r="Q335" i="5"/>
  <c r="Z335" i="5" s="1"/>
  <c r="Q336" i="5"/>
  <c r="Z336" i="5" s="1"/>
  <c r="Q337" i="5"/>
  <c r="Z337" i="5" s="1"/>
  <c r="Q338" i="5"/>
  <c r="Z338" i="5" s="1"/>
  <c r="Q339" i="5"/>
  <c r="Z339" i="5" s="1"/>
  <c r="Q340" i="5"/>
  <c r="Z340" i="5" s="1"/>
  <c r="Q341" i="5"/>
  <c r="Z341" i="5" s="1"/>
  <c r="Q342" i="5"/>
  <c r="Z342" i="5" s="1"/>
  <c r="Q343" i="5"/>
  <c r="Z343" i="5" s="1"/>
  <c r="Q344" i="5"/>
  <c r="Z344" i="5" s="1"/>
  <c r="Q345" i="5"/>
  <c r="Z345" i="5" s="1"/>
  <c r="Q346" i="5"/>
  <c r="Z346" i="5" s="1"/>
  <c r="Q347" i="5"/>
  <c r="Z347" i="5" s="1"/>
  <c r="Q348" i="5"/>
  <c r="Z348" i="5" s="1"/>
  <c r="Q349" i="5"/>
  <c r="Z349" i="5" s="1"/>
  <c r="Q350" i="5"/>
  <c r="Z350" i="5" s="1"/>
  <c r="Q351" i="5"/>
  <c r="Z351" i="5" s="1"/>
  <c r="Q352" i="5"/>
  <c r="Z352" i="5" s="1"/>
  <c r="Q353" i="5"/>
  <c r="Z353" i="5" s="1"/>
  <c r="Q354" i="5"/>
  <c r="Z354" i="5" s="1"/>
  <c r="Q355" i="5"/>
  <c r="Z355" i="5" s="1"/>
  <c r="Q356" i="5"/>
  <c r="Z356" i="5" s="1"/>
  <c r="Q357" i="5"/>
  <c r="Z357" i="5" s="1"/>
  <c r="Q358" i="5"/>
  <c r="Z358" i="5" s="1"/>
  <c r="Q359" i="5"/>
  <c r="Z359" i="5" s="1"/>
  <c r="Q360" i="5"/>
  <c r="Z360" i="5" s="1"/>
  <c r="Q361" i="5"/>
  <c r="Z361" i="5" s="1"/>
  <c r="Q362" i="5"/>
  <c r="Z362" i="5" s="1"/>
  <c r="Q363" i="5"/>
  <c r="Z363" i="5" s="1"/>
  <c r="Q364" i="5"/>
  <c r="Z364" i="5" s="1"/>
  <c r="Q365" i="5"/>
  <c r="Z365" i="5" s="1"/>
  <c r="Q366" i="5"/>
  <c r="Z366" i="5" s="1"/>
  <c r="Q367" i="5"/>
  <c r="Z367" i="5" s="1"/>
  <c r="Q368" i="5"/>
  <c r="Z368" i="5" s="1"/>
  <c r="Q369" i="5"/>
  <c r="Z369" i="5" s="1"/>
  <c r="Q370" i="5"/>
  <c r="Z370" i="5" s="1"/>
  <c r="Q371" i="5"/>
  <c r="Z371" i="5" s="1"/>
  <c r="Q372" i="5"/>
  <c r="Z372" i="5" s="1"/>
  <c r="Q373" i="5"/>
  <c r="Z373" i="5" s="1"/>
  <c r="Q9" i="5"/>
  <c r="Z9" i="5" s="1"/>
  <c r="P9" i="5"/>
  <c r="Q374" i="5" l="1"/>
  <c r="R9" i="5"/>
  <c r="S9" i="5" l="1"/>
  <c r="T9" i="5"/>
  <c r="Y9" i="5" l="1"/>
  <c r="U9" i="5"/>
  <c r="V9" i="5"/>
  <c r="P10" i="5" l="1"/>
  <c r="W9" i="5"/>
  <c r="R10" i="5" l="1"/>
  <c r="T10" i="5" s="1"/>
  <c r="Y10" i="5" s="1"/>
  <c r="S10" i="5" l="1"/>
  <c r="U10" i="5"/>
  <c r="V10" i="5"/>
  <c r="P11" i="5" l="1"/>
  <c r="W10" i="5"/>
  <c r="R11" i="5" l="1"/>
  <c r="T11" i="5" s="1"/>
  <c r="Y11" i="5" s="1"/>
  <c r="V11" i="5" l="1"/>
  <c r="W11" i="5" s="1"/>
  <c r="S11" i="5"/>
  <c r="U11" i="5"/>
  <c r="P12" i="5" l="1"/>
  <c r="R12" i="5" s="1"/>
  <c r="T12" i="5" s="1"/>
  <c r="Y12" i="5" s="1"/>
  <c r="S12" i="5" l="1"/>
  <c r="V12" i="5"/>
  <c r="U12" i="5"/>
  <c r="P13" i="5" l="1"/>
  <c r="W12" i="5"/>
  <c r="R13" i="5" l="1"/>
  <c r="T13" i="5" s="1"/>
  <c r="U13" i="5" l="1"/>
  <c r="Y13" i="5"/>
  <c r="S13" i="5"/>
  <c r="V13" i="5"/>
  <c r="P14" i="5" s="1"/>
  <c r="R14" i="5" l="1"/>
  <c r="S14" i="5" s="1"/>
  <c r="W13" i="5"/>
  <c r="T14" i="5" l="1"/>
  <c r="U14" i="5" l="1"/>
  <c r="Y14" i="5"/>
  <c r="V14" i="5"/>
  <c r="P15" i="5" s="1"/>
  <c r="R15" i="5" s="1"/>
  <c r="S15" i="5" s="1"/>
  <c r="W14" i="5" l="1"/>
  <c r="T15" i="5"/>
  <c r="Y15" i="5" s="1"/>
  <c r="V15" i="5" l="1"/>
  <c r="W15" i="5" s="1"/>
  <c r="U15" i="5"/>
  <c r="P16" i="5" l="1"/>
  <c r="R16" i="5" s="1"/>
  <c r="S16" i="5" s="1"/>
  <c r="T16" i="5" l="1"/>
  <c r="Y16" i="5" s="1"/>
  <c r="V16" i="5" l="1"/>
  <c r="U16" i="5"/>
  <c r="P17" i="5" l="1"/>
  <c r="R17" i="5" s="1"/>
  <c r="S17" i="5" s="1"/>
  <c r="W16" i="5"/>
  <c r="T17" i="5" l="1"/>
  <c r="V17" i="5" l="1"/>
  <c r="P18" i="5" s="1"/>
  <c r="R18" i="5" s="1"/>
  <c r="S18" i="5" s="1"/>
  <c r="Y17" i="5"/>
  <c r="U17" i="5"/>
  <c r="W17" i="5" l="1"/>
  <c r="T18" i="5"/>
  <c r="V18" i="5" l="1"/>
  <c r="W18" i="5" s="1"/>
  <c r="Y18" i="5"/>
  <c r="U18" i="5"/>
  <c r="P19" i="5" l="1"/>
  <c r="R19" i="5" s="1"/>
  <c r="S19" i="5" s="1"/>
  <c r="T19" i="5" l="1"/>
  <c r="V19" i="5" s="1"/>
  <c r="P20" i="5" s="1"/>
  <c r="R20" i="5" s="1"/>
  <c r="S20" i="5" s="1"/>
  <c r="U19" i="5" l="1"/>
  <c r="Y19" i="5"/>
  <c r="W19" i="5"/>
  <c r="T20" i="5"/>
  <c r="V20" i="5" l="1"/>
  <c r="W20" i="5" s="1"/>
  <c r="Y20" i="5"/>
  <c r="U20" i="5"/>
  <c r="P21" i="5" l="1"/>
  <c r="R21" i="5" s="1"/>
  <c r="S21" i="5" s="1"/>
  <c r="T21" i="5" l="1"/>
  <c r="V21" i="5" s="1"/>
  <c r="W21" i="5" s="1"/>
  <c r="Y21" i="5" l="1"/>
  <c r="U21" i="5"/>
  <c r="P22" i="5"/>
  <c r="R22" i="5" s="1"/>
  <c r="S22" i="5" s="1"/>
  <c r="T22" i="5" l="1"/>
  <c r="V22" i="5" s="1"/>
  <c r="W22" i="5" s="1"/>
  <c r="U22" i="5" l="1"/>
  <c r="Y22" i="5"/>
  <c r="P23" i="5"/>
  <c r="R23" i="5" s="1"/>
  <c r="S23" i="5" s="1"/>
  <c r="T23" i="5" l="1"/>
  <c r="V23" i="5" s="1"/>
  <c r="W23" i="5" s="1"/>
  <c r="Y23" i="5" l="1"/>
  <c r="U23" i="5"/>
  <c r="P24" i="5"/>
  <c r="R24" i="5" s="1"/>
  <c r="T24" i="5" s="1"/>
  <c r="S24" i="5" l="1"/>
  <c r="V24" i="5"/>
  <c r="W24" i="5" s="1"/>
  <c r="Y24" i="5"/>
  <c r="U24" i="5"/>
  <c r="P25" i="5" l="1"/>
  <c r="R25" i="5" s="1"/>
  <c r="S25" i="5" s="1"/>
  <c r="T25" i="5" l="1"/>
  <c r="V25" i="5" s="1"/>
  <c r="P26" i="5" s="1"/>
  <c r="R26" i="5" s="1"/>
  <c r="S26" i="5" s="1"/>
  <c r="U25" i="5" l="1"/>
  <c r="Y25" i="5"/>
  <c r="W25" i="5"/>
  <c r="T26" i="5"/>
  <c r="V26" i="5" l="1"/>
  <c r="W26" i="5" s="1"/>
  <c r="Y26" i="5"/>
  <c r="U26" i="5"/>
  <c r="P27" i="5" l="1"/>
  <c r="R27" i="5" s="1"/>
  <c r="S27" i="5" s="1"/>
  <c r="T27" i="5" l="1"/>
  <c r="V27" i="5" s="1"/>
  <c r="W27" i="5" s="1"/>
  <c r="Y27" i="5" l="1"/>
  <c r="U27" i="5"/>
  <c r="P28" i="5"/>
  <c r="R28" i="5" s="1"/>
  <c r="S28" i="5" s="1"/>
  <c r="T28" i="5" l="1"/>
  <c r="Y28" i="5" s="1"/>
  <c r="V28" i="5" l="1"/>
  <c r="W28" i="5" s="1"/>
  <c r="U28" i="5"/>
  <c r="P29" i="5" l="1"/>
  <c r="R29" i="5" s="1"/>
  <c r="S29" i="5" s="1"/>
  <c r="T29" i="5" l="1"/>
  <c r="V29" i="5" s="1"/>
  <c r="W29" i="5" s="1"/>
  <c r="U29" i="5" l="1"/>
  <c r="Y29" i="5"/>
  <c r="P30" i="5"/>
  <c r="R30" i="5" s="1"/>
  <c r="S30" i="5" s="1"/>
  <c r="T30" i="5" l="1"/>
  <c r="V30" i="5" s="1"/>
  <c r="P31" i="5" s="1"/>
  <c r="R31" i="5" s="1"/>
  <c r="S31" i="5" s="1"/>
  <c r="U30" i="5" l="1"/>
  <c r="Y30" i="5"/>
  <c r="W30" i="5"/>
  <c r="T31" i="5"/>
  <c r="U31" i="5" l="1"/>
  <c r="Y31" i="5"/>
  <c r="V31" i="5"/>
  <c r="P32" i="5" s="1"/>
  <c r="R32" i="5" s="1"/>
  <c r="S32" i="5" s="1"/>
  <c r="W31" i="5" l="1"/>
  <c r="T32" i="5"/>
  <c r="Y32" i="5" s="1"/>
  <c r="V32" i="5" l="1"/>
  <c r="W32" i="5" s="1"/>
  <c r="U32" i="5"/>
  <c r="P33" i="5" l="1"/>
  <c r="R33" i="5" s="1"/>
  <c r="S33" i="5" s="1"/>
  <c r="T33" i="5" l="1"/>
  <c r="V33" i="5" l="1"/>
  <c r="W33" i="5" s="1"/>
  <c r="Y33" i="5"/>
  <c r="U33" i="5"/>
  <c r="P34" i="5" l="1"/>
  <c r="R34" i="5" s="1"/>
  <c r="S34" i="5" s="1"/>
  <c r="T34" i="5" l="1"/>
  <c r="V34" i="5" s="1"/>
  <c r="W34" i="5" s="1"/>
  <c r="U34" i="5" l="1"/>
  <c r="Y34" i="5"/>
  <c r="P35" i="5"/>
  <c r="R35" i="5" s="1"/>
  <c r="S35" i="5" s="1"/>
  <c r="T35" i="5" l="1"/>
  <c r="U35" i="5" s="1"/>
  <c r="V35" i="5" l="1"/>
  <c r="P36" i="5" s="1"/>
  <c r="R36" i="5" s="1"/>
  <c r="S36" i="5" s="1"/>
  <c r="Y35" i="5"/>
  <c r="T36" i="5" l="1"/>
  <c r="V36" i="5" s="1"/>
  <c r="W36" i="5" s="1"/>
  <c r="W35" i="5"/>
  <c r="U36" i="5" l="1"/>
  <c r="Y36" i="5"/>
  <c r="P37" i="5"/>
  <c r="R37" i="5" s="1"/>
  <c r="S37" i="5" s="1"/>
  <c r="T37" i="5" l="1"/>
  <c r="Y37" i="5" s="1"/>
  <c r="U37" i="5" l="1"/>
  <c r="V37" i="5"/>
  <c r="W37" i="5" s="1"/>
  <c r="P38" i="5" l="1"/>
  <c r="R38" i="5" s="1"/>
  <c r="S38" i="5" s="1"/>
  <c r="T38" i="5" l="1"/>
  <c r="V38" i="5" s="1"/>
  <c r="U38" i="5" l="1"/>
  <c r="W38" i="5"/>
  <c r="P39" i="5"/>
  <c r="R39" i="5" s="1"/>
  <c r="S39" i="5" s="1"/>
  <c r="Y38" i="5"/>
  <c r="T39" i="5" l="1"/>
  <c r="V39" i="5" s="1"/>
  <c r="P40" i="5" s="1"/>
  <c r="R40" i="5" s="1"/>
  <c r="S40" i="5" s="1"/>
  <c r="U39" i="5" l="1"/>
  <c r="Y39" i="5"/>
  <c r="W39" i="5"/>
  <c r="T40" i="5"/>
  <c r="U40" i="5" l="1"/>
  <c r="Y40" i="5"/>
  <c r="V40" i="5"/>
  <c r="P41" i="5" s="1"/>
  <c r="R41" i="5" s="1"/>
  <c r="S41" i="5" s="1"/>
  <c r="W40" i="5" l="1"/>
  <c r="T41" i="5"/>
  <c r="V41" i="5" l="1"/>
  <c r="W41" i="5" s="1"/>
  <c r="Y41" i="5"/>
  <c r="U41" i="5"/>
  <c r="P42" i="5" l="1"/>
  <c r="R42" i="5" s="1"/>
  <c r="S42" i="5" s="1"/>
  <c r="T42" i="5" l="1"/>
  <c r="V42" i="5" s="1"/>
  <c r="W42" i="5" s="1"/>
  <c r="U42" i="5" l="1"/>
  <c r="Y42" i="5"/>
  <c r="P43" i="5"/>
  <c r="R43" i="5" s="1"/>
  <c r="S43" i="5" s="1"/>
  <c r="T43" i="5" l="1"/>
  <c r="V43" i="5" s="1"/>
  <c r="W43" i="5" s="1"/>
  <c r="Y43" i="5" l="1"/>
  <c r="U43" i="5"/>
  <c r="P44" i="5"/>
  <c r="R44" i="5" s="1"/>
  <c r="S44" i="5" s="1"/>
  <c r="T44" i="5" l="1"/>
  <c r="V44" i="5" s="1"/>
  <c r="W44" i="5" s="1"/>
  <c r="U44" i="5" l="1"/>
  <c r="Y44" i="5"/>
  <c r="P45" i="5"/>
  <c r="R45" i="5" s="1"/>
  <c r="S45" i="5" s="1"/>
  <c r="T45" i="5" l="1"/>
  <c r="V45" i="5" s="1"/>
  <c r="W45" i="5" s="1"/>
  <c r="Y45" i="5" l="1"/>
  <c r="P46" i="5"/>
  <c r="R46" i="5" s="1"/>
  <c r="S46" i="5" s="1"/>
  <c r="U45" i="5"/>
  <c r="T46" i="5" l="1"/>
  <c r="Y46" i="5" s="1"/>
  <c r="V46" i="5" l="1"/>
  <c r="W46" i="5" s="1"/>
  <c r="U46" i="5"/>
  <c r="P47" i="5" l="1"/>
  <c r="R47" i="5" s="1"/>
  <c r="S47" i="5" s="1"/>
  <c r="T47" i="5" l="1"/>
  <c r="U47" i="5" s="1"/>
  <c r="Y47" i="5" l="1"/>
  <c r="V47" i="5"/>
  <c r="W47" i="5" s="1"/>
  <c r="P48" i="5" l="1"/>
  <c r="R48" i="5" s="1"/>
  <c r="S48" i="5" s="1"/>
  <c r="T48" i="5" l="1"/>
  <c r="Y48" i="5" s="1"/>
  <c r="U48" i="5" l="1"/>
  <c r="V48" i="5"/>
  <c r="W48" i="5" s="1"/>
  <c r="P49" i="5" l="1"/>
  <c r="R49" i="5" s="1"/>
  <c r="S49" i="5" s="1"/>
  <c r="T49" i="5" l="1"/>
  <c r="V49" i="5" s="1"/>
  <c r="W49" i="5" s="1"/>
  <c r="U49" i="5" l="1"/>
  <c r="P50" i="5"/>
  <c r="Y49" i="5"/>
  <c r="R50" i="5" l="1"/>
  <c r="S50" i="5" s="1"/>
  <c r="T50" i="5" l="1"/>
  <c r="Y50" i="5" l="1"/>
  <c r="U50" i="5"/>
  <c r="V50" i="5"/>
  <c r="P51" i="5" l="1"/>
  <c r="W50" i="5"/>
  <c r="R51" i="5" l="1"/>
  <c r="S51" i="5" s="1"/>
  <c r="T51" i="5" l="1"/>
  <c r="U51" i="5" s="1"/>
  <c r="V51" i="5" l="1"/>
  <c r="W51" i="5" s="1"/>
  <c r="Y51" i="5"/>
  <c r="P52" i="5" l="1"/>
  <c r="R52" i="5" s="1"/>
  <c r="S52" i="5" s="1"/>
  <c r="T52" i="5" l="1"/>
  <c r="Y52" i="5" l="1"/>
  <c r="U52" i="5"/>
  <c r="V52" i="5"/>
  <c r="W52" i="5" l="1"/>
  <c r="P53" i="5"/>
  <c r="R53" i="5" s="1"/>
  <c r="S53" i="5" s="1"/>
  <c r="T53" i="5" l="1"/>
  <c r="V53" i="5" l="1"/>
  <c r="U53" i="5"/>
  <c r="Y53" i="5"/>
  <c r="W53" i="5" l="1"/>
  <c r="P54" i="5"/>
  <c r="R54" i="5" s="1"/>
  <c r="S54" i="5" s="1"/>
  <c r="T54" i="5" l="1"/>
  <c r="V54" i="5" l="1"/>
  <c r="W54" i="5" s="1"/>
  <c r="U54" i="5"/>
  <c r="Y54" i="5"/>
  <c r="P55" i="5" l="1"/>
  <c r="R55" i="5" s="1"/>
  <c r="S55" i="5" s="1"/>
  <c r="T55" i="5" l="1"/>
  <c r="Y55" i="5" s="1"/>
  <c r="V55" i="5" l="1"/>
  <c r="W55" i="5" s="1"/>
  <c r="U55" i="5"/>
  <c r="P56" i="5" l="1"/>
  <c r="R56" i="5" s="1"/>
  <c r="S56" i="5" s="1"/>
  <c r="T56" i="5" l="1"/>
  <c r="Y56" i="5" s="1"/>
  <c r="V56" i="5" l="1"/>
  <c r="W56" i="5" s="1"/>
  <c r="U56" i="5"/>
  <c r="P57" i="5" l="1"/>
  <c r="R57" i="5" s="1"/>
  <c r="S57" i="5" s="1"/>
  <c r="T57" i="5" l="1"/>
  <c r="U57" i="5" s="1"/>
  <c r="V57" i="5" l="1"/>
  <c r="W57" i="5" s="1"/>
  <c r="Y57" i="5"/>
  <c r="P58" i="5" l="1"/>
  <c r="R58" i="5" s="1"/>
  <c r="S58" i="5" s="1"/>
  <c r="T58" i="5" l="1"/>
  <c r="Y58" i="5" s="1"/>
  <c r="U58" i="5" l="1"/>
  <c r="V58" i="5"/>
  <c r="W58" i="5" s="1"/>
  <c r="P59" i="5" l="1"/>
  <c r="R59" i="5" s="1"/>
  <c r="S59" i="5" s="1"/>
  <c r="T59" i="5" l="1"/>
  <c r="U59" i="5" s="1"/>
  <c r="Y59" i="5" l="1"/>
  <c r="V59" i="5"/>
  <c r="W59" i="5" s="1"/>
  <c r="P60" i="5" l="1"/>
  <c r="R60" i="5" s="1"/>
  <c r="S60" i="5" s="1"/>
  <c r="T60" i="5" l="1"/>
  <c r="Y60" i="5" s="1"/>
  <c r="U60" i="5" l="1"/>
  <c r="V60" i="5"/>
  <c r="W60" i="5" s="1"/>
  <c r="P61" i="5" l="1"/>
  <c r="R61" i="5" s="1"/>
  <c r="S61" i="5" s="1"/>
  <c r="T61" i="5" l="1"/>
  <c r="Y61" i="5" l="1"/>
  <c r="V61" i="5"/>
  <c r="W61" i="5" s="1"/>
  <c r="U61" i="5"/>
  <c r="P62" i="5" l="1"/>
  <c r="R62" i="5" l="1"/>
  <c r="S62" i="5" s="1"/>
  <c r="T62" i="5" l="1"/>
  <c r="Y62" i="5" s="1"/>
  <c r="V62" i="5" l="1"/>
  <c r="W62" i="5" s="1"/>
  <c r="U62" i="5"/>
  <c r="P63" i="5" l="1"/>
  <c r="R63" i="5" s="1"/>
  <c r="S63" i="5" s="1"/>
  <c r="T63" i="5" l="1"/>
  <c r="V63" i="5" s="1"/>
  <c r="W63" i="5" s="1"/>
  <c r="U63" i="5" l="1"/>
  <c r="Y63" i="5"/>
  <c r="P64" i="5"/>
  <c r="R64" i="5" s="1"/>
  <c r="S64" i="5" s="1"/>
  <c r="T64" i="5" l="1"/>
  <c r="U64" i="5" s="1"/>
  <c r="Y64" i="5" l="1"/>
  <c r="V64" i="5"/>
  <c r="W64" i="5" s="1"/>
  <c r="P65" i="5" l="1"/>
  <c r="R65" i="5" s="1"/>
  <c r="S65" i="5" s="1"/>
  <c r="T65" i="5" l="1"/>
  <c r="U65" i="5" s="1"/>
  <c r="Y65" i="5" l="1"/>
  <c r="V65" i="5"/>
  <c r="W65" i="5" l="1"/>
  <c r="P66" i="5"/>
  <c r="R66" i="5" l="1"/>
  <c r="S66" i="5" s="1"/>
  <c r="T66" i="5" l="1"/>
  <c r="V66" i="5"/>
  <c r="W66" i="5" s="1"/>
  <c r="U66" i="5"/>
  <c r="Y66" i="5"/>
  <c r="P67" i="5" l="1"/>
  <c r="R67" i="5" s="1"/>
  <c r="S67" i="5" s="1"/>
  <c r="T67" i="5" l="1"/>
  <c r="V67" i="5" l="1"/>
  <c r="W67" i="5" s="1"/>
  <c r="Y67" i="5"/>
  <c r="U67" i="5"/>
  <c r="P68" i="5" l="1"/>
  <c r="R68" i="5" l="1"/>
  <c r="S68" i="5" s="1"/>
  <c r="T68" i="5" l="1"/>
  <c r="V68" i="5" s="1"/>
  <c r="Y68" i="5"/>
  <c r="U68" i="5" l="1"/>
  <c r="W68" i="5"/>
  <c r="P69" i="5"/>
  <c r="R69" i="5" s="1"/>
  <c r="S69" i="5" s="1"/>
  <c r="T69" i="5" l="1"/>
  <c r="Y69" i="5" s="1"/>
  <c r="V69" i="5"/>
  <c r="U69" i="5"/>
  <c r="W69" i="5" l="1"/>
  <c r="P70" i="5"/>
  <c r="R70" i="5" s="1"/>
  <c r="S70" i="5" s="1"/>
  <c r="T70" i="5" l="1"/>
  <c r="V70" i="5" s="1"/>
  <c r="W70" i="5" s="1"/>
  <c r="U70" i="5"/>
  <c r="Y70" i="5" l="1"/>
  <c r="P71" i="5"/>
  <c r="R71" i="5" s="1"/>
  <c r="S71" i="5" s="1"/>
  <c r="T71" i="5" l="1"/>
  <c r="V71" i="5" l="1"/>
  <c r="Y71" i="5"/>
  <c r="U71" i="5"/>
  <c r="W71" i="5" l="1"/>
  <c r="P72" i="5"/>
  <c r="R72" i="5" s="1"/>
  <c r="S72" i="5" s="1"/>
  <c r="T72" i="5" l="1"/>
  <c r="V72" i="5" s="1"/>
  <c r="W72" i="5" s="1"/>
  <c r="U72" i="5" l="1"/>
  <c r="Y72" i="5"/>
  <c r="P73" i="5"/>
  <c r="R73" i="5" s="1"/>
  <c r="S73" i="5" s="1"/>
  <c r="T73" i="5" l="1"/>
  <c r="Y73" i="5" s="1"/>
  <c r="U73" i="5" l="1"/>
  <c r="V73" i="5"/>
  <c r="W73" i="5" s="1"/>
  <c r="P74" i="5" l="1"/>
  <c r="R74" i="5" s="1"/>
  <c r="S74" i="5" s="1"/>
  <c r="T74" i="5" l="1"/>
  <c r="V74" i="5" s="1"/>
  <c r="U74" i="5" l="1"/>
  <c r="Y74" i="5"/>
  <c r="W74" i="5"/>
  <c r="P75" i="5"/>
  <c r="R75" i="5" s="1"/>
  <c r="S75" i="5" s="1"/>
  <c r="T75" i="5" l="1"/>
  <c r="U75" i="5" l="1"/>
  <c r="V75" i="5"/>
  <c r="Y75" i="5"/>
  <c r="W75" i="5" l="1"/>
  <c r="P76" i="5"/>
  <c r="R76" i="5" l="1"/>
  <c r="S76" i="5" s="1"/>
  <c r="T76" i="5" l="1"/>
  <c r="V76" i="5" s="1"/>
  <c r="W76" i="5" s="1"/>
  <c r="Y76" i="5" l="1"/>
  <c r="U76" i="5"/>
  <c r="P77" i="5"/>
  <c r="R77" i="5"/>
  <c r="S77" i="5" s="1"/>
  <c r="T77" i="5" l="1"/>
  <c r="V77" i="5" s="1"/>
  <c r="W77" i="5" s="1"/>
  <c r="U77" i="5"/>
  <c r="Y77" i="5"/>
  <c r="P78" i="5" l="1"/>
  <c r="R78" i="5" s="1"/>
  <c r="S78" i="5" s="1"/>
  <c r="T78" i="5" l="1"/>
  <c r="U78" i="5" s="1"/>
  <c r="V78" i="5"/>
  <c r="Y78" i="5" l="1"/>
  <c r="W78" i="5"/>
  <c r="P79" i="5"/>
  <c r="R79" i="5" l="1"/>
  <c r="S79" i="5" s="1"/>
  <c r="T79" i="5" l="1"/>
  <c r="V79" i="5" s="1"/>
  <c r="W79" i="5" s="1"/>
  <c r="U79" i="5" l="1"/>
  <c r="Y79" i="5"/>
  <c r="P80" i="5"/>
  <c r="R80" i="5" s="1"/>
  <c r="S80" i="5" s="1"/>
  <c r="T80" i="5" l="1"/>
  <c r="V80" i="5"/>
  <c r="W80" i="5" s="1"/>
  <c r="U80" i="5"/>
  <c r="P81" i="5"/>
  <c r="Y80" i="5"/>
  <c r="R81" i="5" l="1"/>
  <c r="S81" i="5" s="1"/>
  <c r="T81" i="5" l="1"/>
  <c r="V81" i="5" s="1"/>
  <c r="U81" i="5" l="1"/>
  <c r="Y81" i="5"/>
  <c r="W81" i="5"/>
  <c r="P82" i="5"/>
  <c r="R82" i="5" s="1"/>
  <c r="S82" i="5" s="1"/>
  <c r="T82" i="5" l="1"/>
  <c r="V82" i="5" s="1"/>
  <c r="Y82" i="5"/>
  <c r="U82" i="5" l="1"/>
  <c r="W82" i="5"/>
  <c r="P83" i="5"/>
  <c r="R83" i="5" s="1"/>
  <c r="S83" i="5" s="1"/>
  <c r="T83" i="5" l="1"/>
  <c r="U83" i="5" s="1"/>
  <c r="Y83" i="5" l="1"/>
  <c r="V83" i="5"/>
  <c r="W83" i="5" l="1"/>
  <c r="P84" i="5"/>
  <c r="R84" i="5" s="1"/>
  <c r="S84" i="5" s="1"/>
  <c r="T84" i="5" l="1"/>
  <c r="Y84" i="5"/>
  <c r="V84" i="5"/>
  <c r="W84" i="5" s="1"/>
  <c r="U84" i="5"/>
  <c r="P85" i="5" l="1"/>
  <c r="R85" i="5" l="1"/>
  <c r="S85" i="5" s="1"/>
  <c r="T85" i="5" l="1"/>
  <c r="Y85" i="5" s="1"/>
  <c r="V85" i="5"/>
  <c r="U85" i="5"/>
  <c r="W85" i="5" l="1"/>
  <c r="P86" i="5"/>
  <c r="R86" i="5" l="1"/>
  <c r="S86" i="5" s="1"/>
  <c r="T86" i="5" l="1"/>
  <c r="Y86" i="5" l="1"/>
  <c r="V86" i="5"/>
  <c r="W86" i="5" s="1"/>
  <c r="U86" i="5"/>
  <c r="P87" i="5" l="1"/>
  <c r="R87" i="5" s="1"/>
  <c r="S87" i="5" s="1"/>
  <c r="T87" i="5" l="1"/>
  <c r="U87" i="5" s="1"/>
  <c r="Y87" i="5"/>
  <c r="V87" i="5"/>
  <c r="W87" i="5" s="1"/>
  <c r="P88" i="5" l="1"/>
  <c r="R88" i="5" l="1"/>
  <c r="S88" i="5" s="1"/>
  <c r="T88" i="5" l="1"/>
  <c r="U88" i="5" s="1"/>
  <c r="V88" i="5"/>
  <c r="W88" i="5" s="1"/>
  <c r="Y88" i="5"/>
  <c r="P89" i="5" l="1"/>
  <c r="R89" i="5" s="1"/>
  <c r="S89" i="5" s="1"/>
  <c r="T89" i="5" l="1"/>
  <c r="U89" i="5" s="1"/>
  <c r="Y89" i="5" l="1"/>
  <c r="V89" i="5"/>
  <c r="W89" i="5" s="1"/>
  <c r="P90" i="5" l="1"/>
  <c r="R90" i="5" s="1"/>
  <c r="S90" i="5" s="1"/>
  <c r="T90" i="5" l="1"/>
  <c r="Y90" i="5" s="1"/>
  <c r="U90" i="5" l="1"/>
  <c r="V90" i="5"/>
  <c r="W90" i="5" s="1"/>
  <c r="P91" i="5" l="1"/>
  <c r="R91" i="5" l="1"/>
  <c r="S91" i="5" s="1"/>
  <c r="T91" i="5" l="1"/>
  <c r="U91" i="5"/>
  <c r="Y91" i="5"/>
  <c r="V91" i="5"/>
  <c r="W91" i="5" s="1"/>
  <c r="P92" i="5" l="1"/>
  <c r="R92" i="5" l="1"/>
  <c r="S92" i="5" s="1"/>
  <c r="T92" i="5" l="1"/>
  <c r="V92" i="5"/>
  <c r="W92" i="5" s="1"/>
  <c r="U92" i="5"/>
  <c r="Y92" i="5"/>
  <c r="P93" i="5" l="1"/>
  <c r="R93" i="5" s="1"/>
  <c r="S93" i="5" s="1"/>
  <c r="T93" i="5" l="1"/>
  <c r="U93" i="5" s="1"/>
  <c r="Y93" i="5"/>
  <c r="V93" i="5" l="1"/>
  <c r="W93" i="5" s="1"/>
  <c r="P94" i="5"/>
  <c r="R94" i="5" s="1"/>
  <c r="S94" i="5" s="1"/>
  <c r="T94" i="5" l="1"/>
  <c r="Y94" i="5" s="1"/>
  <c r="U94" i="5"/>
  <c r="V94" i="5" l="1"/>
  <c r="W94" i="5" s="1"/>
  <c r="P95" i="5" l="1"/>
  <c r="R95" i="5" l="1"/>
  <c r="S95" i="5" s="1"/>
  <c r="T95" i="5" l="1"/>
  <c r="U95" i="5" l="1"/>
  <c r="Y95" i="5"/>
  <c r="V95" i="5"/>
  <c r="W95" i="5" s="1"/>
  <c r="P96" i="5" l="1"/>
  <c r="R96" i="5"/>
  <c r="S96" i="5" s="1"/>
  <c r="T96" i="5" l="1"/>
  <c r="U96" i="5" l="1"/>
  <c r="V96" i="5"/>
  <c r="W96" i="5" s="1"/>
  <c r="Y96" i="5"/>
  <c r="P97" i="5" l="1"/>
  <c r="R97" i="5" l="1"/>
  <c r="S97" i="5" s="1"/>
  <c r="T97" i="5" l="1"/>
  <c r="U97" i="5"/>
  <c r="Y97" i="5"/>
  <c r="V97" i="5"/>
  <c r="W97" i="5" s="1"/>
  <c r="P98" i="5" l="1"/>
  <c r="R98" i="5" l="1"/>
  <c r="S98" i="5" s="1"/>
  <c r="T98" i="5"/>
  <c r="U98" i="5" l="1"/>
  <c r="Y98" i="5"/>
  <c r="V98" i="5"/>
  <c r="W98" i="5" s="1"/>
  <c r="P99" i="5"/>
  <c r="R99" i="5" l="1"/>
  <c r="S99" i="5" s="1"/>
  <c r="T99" i="5" l="1"/>
  <c r="V99" i="5"/>
  <c r="Y99" i="5"/>
  <c r="U99" i="5"/>
  <c r="W99" i="5" l="1"/>
  <c r="P100" i="5"/>
  <c r="R100" i="5" s="1"/>
  <c r="S100" i="5" s="1"/>
  <c r="T100" i="5" l="1"/>
  <c r="U100" i="5"/>
  <c r="V100" i="5"/>
  <c r="W100" i="5" s="1"/>
  <c r="Y100" i="5"/>
  <c r="P101" i="5"/>
  <c r="R101" i="5" l="1"/>
  <c r="S101" i="5" s="1"/>
  <c r="T101" i="5" l="1"/>
  <c r="Y101" i="5"/>
  <c r="V101" i="5"/>
  <c r="U101" i="5"/>
  <c r="W101" i="5" l="1"/>
  <c r="P102" i="5"/>
  <c r="R102" i="5" l="1"/>
  <c r="S102" i="5" s="1"/>
  <c r="T102" i="5" l="1"/>
  <c r="Y102" i="5" l="1"/>
  <c r="V102" i="5"/>
  <c r="W102" i="5" s="1"/>
  <c r="U102" i="5"/>
  <c r="P103" i="5" l="1"/>
  <c r="R103" i="5" s="1"/>
  <c r="S103" i="5" s="1"/>
  <c r="T103" i="5" l="1"/>
  <c r="U103" i="5" s="1"/>
  <c r="Y103" i="5"/>
  <c r="V103" i="5" l="1"/>
  <c r="W103" i="5" s="1"/>
  <c r="P104" i="5" l="1"/>
  <c r="R104" i="5" l="1"/>
  <c r="S104" i="5" s="1"/>
  <c r="T104" i="5"/>
  <c r="U104" i="5" l="1"/>
  <c r="V104" i="5"/>
  <c r="Y104" i="5"/>
  <c r="W104" i="5" l="1"/>
  <c r="P105" i="5"/>
  <c r="R105" i="5" s="1"/>
  <c r="S105" i="5" s="1"/>
  <c r="T105" i="5" l="1"/>
  <c r="Y105" i="5"/>
  <c r="V105" i="5"/>
  <c r="W105" i="5" s="1"/>
  <c r="U105" i="5"/>
  <c r="P106" i="5"/>
  <c r="R106" i="5" l="1"/>
  <c r="S106" i="5" s="1"/>
  <c r="T106" i="5"/>
  <c r="Y106" i="5" l="1"/>
  <c r="V106" i="5"/>
  <c r="W106" i="5" s="1"/>
  <c r="U106" i="5"/>
  <c r="P107" i="5" l="1"/>
  <c r="R107" i="5" s="1"/>
  <c r="S107" i="5" s="1"/>
  <c r="T107" i="5" l="1"/>
  <c r="U107" i="5" s="1"/>
  <c r="Y107" i="5"/>
  <c r="V107" i="5" l="1"/>
  <c r="W107" i="5" l="1"/>
  <c r="P108" i="5"/>
  <c r="R108" i="5" l="1"/>
  <c r="S108" i="5" s="1"/>
  <c r="T108" i="5" l="1"/>
  <c r="U108" i="5" l="1"/>
  <c r="Y108" i="5"/>
  <c r="V108" i="5"/>
  <c r="W108" i="5" s="1"/>
  <c r="P109" i="5" l="1"/>
  <c r="R109" i="5" l="1"/>
  <c r="S109" i="5" s="1"/>
  <c r="T109" i="5" l="1"/>
  <c r="Y109" i="5"/>
  <c r="V109" i="5"/>
  <c r="W109" i="5" s="1"/>
  <c r="U109" i="5"/>
  <c r="P110" i="5"/>
  <c r="R110" i="5" l="1"/>
  <c r="S110" i="5" s="1"/>
  <c r="T110" i="5" l="1"/>
  <c r="U110" i="5"/>
  <c r="V110" i="5"/>
  <c r="Y110" i="5"/>
  <c r="W110" i="5" l="1"/>
  <c r="P111" i="5"/>
  <c r="R111" i="5" l="1"/>
  <c r="S111" i="5" s="1"/>
  <c r="T111" i="5" l="1"/>
  <c r="U111" i="5" s="1"/>
  <c r="V111" i="5" l="1"/>
  <c r="W111" i="5" s="1"/>
  <c r="Y111" i="5"/>
  <c r="P112" i="5" l="1"/>
  <c r="R112" i="5" s="1"/>
  <c r="S112" i="5" s="1"/>
  <c r="T112" i="5" l="1"/>
  <c r="Y112" i="5" s="1"/>
  <c r="U112" i="5" l="1"/>
  <c r="V112" i="5"/>
  <c r="W112" i="5" s="1"/>
  <c r="P113" i="5" l="1"/>
  <c r="R113" i="5" s="1"/>
  <c r="S113" i="5" s="1"/>
  <c r="T113" i="5" l="1"/>
  <c r="U113" i="5"/>
  <c r="Y113" i="5"/>
  <c r="V113" i="5"/>
  <c r="W113" i="5" s="1"/>
  <c r="P114" i="5" l="1"/>
  <c r="R114" i="5"/>
  <c r="S114" i="5" s="1"/>
  <c r="T114" i="5" l="1"/>
  <c r="U114" i="5" s="1"/>
  <c r="V114" i="5" l="1"/>
  <c r="W114" i="5" s="1"/>
  <c r="Y114" i="5"/>
  <c r="P115" i="5" l="1"/>
  <c r="R115" i="5" s="1"/>
  <c r="S115" i="5" s="1"/>
  <c r="T115" i="5" l="1"/>
  <c r="Y115" i="5" s="1"/>
  <c r="U115" i="5" l="1"/>
  <c r="V115" i="5"/>
  <c r="W115" i="5" s="1"/>
  <c r="P116" i="5" l="1"/>
  <c r="R116" i="5" s="1"/>
  <c r="S116" i="5" s="1"/>
  <c r="T116" i="5" l="1"/>
  <c r="V116" i="5" s="1"/>
  <c r="W116" i="5" s="1"/>
  <c r="Y116" i="5"/>
  <c r="P117" i="5"/>
  <c r="R117" i="5" s="1"/>
  <c r="S117" i="5" s="1"/>
  <c r="U116" i="5" l="1"/>
  <c r="T117" i="5"/>
  <c r="V117" i="5"/>
  <c r="W117" i="5" s="1"/>
  <c r="Y117" i="5"/>
  <c r="U117" i="5"/>
  <c r="P118" i="5" l="1"/>
  <c r="R118" i="5"/>
  <c r="S118" i="5" s="1"/>
  <c r="T118" i="5"/>
  <c r="V118" i="5" l="1"/>
  <c r="W118" i="5" s="1"/>
  <c r="Y118" i="5"/>
  <c r="P119" i="5"/>
  <c r="U118" i="5"/>
  <c r="R119" i="5" l="1"/>
  <c r="S119" i="5" s="1"/>
  <c r="T119" i="5" l="1"/>
  <c r="Y119" i="5"/>
  <c r="V119" i="5"/>
  <c r="W119" i="5" s="1"/>
  <c r="U119" i="5"/>
  <c r="P120" i="5" l="1"/>
  <c r="R120" i="5" s="1"/>
  <c r="S120" i="5" s="1"/>
  <c r="T120" i="5" l="1"/>
  <c r="U120" i="5"/>
  <c r="Y120" i="5"/>
  <c r="V120" i="5"/>
  <c r="W120" i="5" l="1"/>
  <c r="P121" i="5"/>
  <c r="R121" i="5" l="1"/>
  <c r="S121" i="5" s="1"/>
  <c r="T121" i="5" l="1"/>
  <c r="U121" i="5"/>
  <c r="V121" i="5"/>
  <c r="W121" i="5" s="1"/>
  <c r="Y121" i="5"/>
  <c r="P122" i="5" l="1"/>
  <c r="R122" i="5"/>
  <c r="S122" i="5" s="1"/>
  <c r="T122" i="5"/>
  <c r="V122" i="5" l="1"/>
  <c r="W122" i="5" s="1"/>
  <c r="U122" i="5"/>
  <c r="P123" i="5"/>
  <c r="Y122" i="5"/>
  <c r="R123" i="5" l="1"/>
  <c r="S123" i="5" s="1"/>
  <c r="T123" i="5" l="1"/>
  <c r="U123" i="5"/>
  <c r="V123" i="5"/>
  <c r="Y123" i="5"/>
  <c r="W123" i="5" l="1"/>
  <c r="P124" i="5"/>
  <c r="R124" i="5" s="1"/>
  <c r="S124" i="5" s="1"/>
  <c r="T124" i="5" l="1"/>
  <c r="V124" i="5"/>
  <c r="W124" i="5" s="1"/>
  <c r="U124" i="5" l="1"/>
  <c r="Y124" i="5"/>
  <c r="P125" i="5"/>
  <c r="R125" i="5" s="1"/>
  <c r="S125" i="5" s="1"/>
  <c r="T125" i="5" l="1"/>
  <c r="V125" i="5" l="1"/>
  <c r="W125" i="5" s="1"/>
  <c r="Y125" i="5"/>
  <c r="U125" i="5"/>
  <c r="P126" i="5" l="1"/>
  <c r="R126" i="5" s="1"/>
  <c r="S126" i="5" l="1"/>
  <c r="T126" i="5"/>
  <c r="V126" i="5" s="1"/>
  <c r="Y126" i="5"/>
  <c r="W126" i="5" l="1"/>
  <c r="P127" i="5"/>
  <c r="U126" i="5"/>
  <c r="R127" i="5"/>
  <c r="S127" i="5" s="1"/>
  <c r="T127" i="5" l="1"/>
  <c r="U127" i="5" s="1"/>
  <c r="V127" i="5"/>
  <c r="W127" i="5" s="1"/>
  <c r="Y127" i="5" l="1"/>
  <c r="P128" i="5"/>
  <c r="R128" i="5" s="1"/>
  <c r="S128" i="5" s="1"/>
  <c r="T128" i="5" l="1"/>
  <c r="Y128" i="5" l="1"/>
  <c r="V128" i="5"/>
  <c r="W128" i="5" s="1"/>
  <c r="U128" i="5"/>
  <c r="P129" i="5" l="1"/>
  <c r="R129" i="5" s="1"/>
  <c r="S129" i="5" s="1"/>
  <c r="T129" i="5" l="1"/>
  <c r="V129" i="5" s="1"/>
  <c r="W129" i="5" s="1"/>
  <c r="Y129" i="5" l="1"/>
  <c r="U129" i="5"/>
  <c r="P130" i="5"/>
  <c r="R130" i="5" l="1"/>
  <c r="S130" i="5" s="1"/>
  <c r="T130" i="5" l="1"/>
  <c r="U130" i="5" s="1"/>
  <c r="Y130" i="5" l="1"/>
  <c r="V130" i="5"/>
  <c r="W130" i="5" s="1"/>
  <c r="P131" i="5" l="1"/>
  <c r="R131" i="5" s="1"/>
  <c r="S131" i="5" s="1"/>
  <c r="T131" i="5" l="1"/>
  <c r="Y131" i="5" s="1"/>
  <c r="V131" i="5"/>
  <c r="W131" i="5" s="1"/>
  <c r="U131" i="5"/>
  <c r="P132" i="5" l="1"/>
  <c r="R132" i="5"/>
  <c r="S132" i="5" s="1"/>
  <c r="T132" i="5" l="1"/>
  <c r="Y132" i="5" s="1"/>
  <c r="V132" i="5"/>
  <c r="W132" i="5" s="1"/>
  <c r="U132" i="5"/>
  <c r="P133" i="5" l="1"/>
  <c r="R133" i="5" l="1"/>
  <c r="S133" i="5" s="1"/>
  <c r="T133" i="5" l="1"/>
  <c r="V133" i="5"/>
  <c r="W133" i="5" s="1"/>
  <c r="U133" i="5"/>
  <c r="Y133" i="5"/>
  <c r="P134" i="5"/>
  <c r="R134" i="5" l="1"/>
  <c r="S134" i="5" s="1"/>
  <c r="T134" i="5" l="1"/>
  <c r="U134" i="5" s="1"/>
  <c r="Y134" i="5" l="1"/>
  <c r="V134" i="5"/>
  <c r="W134" i="5" l="1"/>
  <c r="P135" i="5"/>
  <c r="R135" i="5" s="1"/>
  <c r="S135" i="5" s="1"/>
  <c r="T135" i="5" l="1"/>
  <c r="V135" i="5" s="1"/>
  <c r="Y135" i="5"/>
  <c r="W135" i="5"/>
  <c r="P136" i="5"/>
  <c r="U135" i="5"/>
  <c r="R136" i="5"/>
  <c r="S136" i="5" s="1"/>
  <c r="T136" i="5" l="1"/>
  <c r="U136" i="5" l="1"/>
  <c r="V136" i="5"/>
  <c r="W136" i="5" s="1"/>
  <c r="Y136" i="5"/>
  <c r="P137" i="5" l="1"/>
  <c r="R137" i="5"/>
  <c r="S137" i="5" s="1"/>
  <c r="T137" i="5" l="1"/>
  <c r="Y137" i="5" s="1"/>
  <c r="V137" i="5"/>
  <c r="W137" i="5" s="1"/>
  <c r="U137" i="5"/>
  <c r="P138" i="5" l="1"/>
  <c r="R138" i="5" s="1"/>
  <c r="S138" i="5" s="1"/>
  <c r="T138" i="5" l="1"/>
  <c r="U138" i="5" s="1"/>
  <c r="V138" i="5" l="1"/>
  <c r="W138" i="5" s="1"/>
  <c r="Y138" i="5"/>
  <c r="P139" i="5" l="1"/>
  <c r="R139" i="5" s="1"/>
  <c r="S139" i="5" s="1"/>
  <c r="T139" i="5" l="1"/>
  <c r="U139" i="5" s="1"/>
  <c r="Y139" i="5"/>
  <c r="V139" i="5"/>
  <c r="W139" i="5" s="1"/>
  <c r="P140" i="5" l="1"/>
  <c r="R140" i="5" s="1"/>
  <c r="S140" i="5" s="1"/>
  <c r="T140" i="5" l="1"/>
  <c r="Y140" i="5" s="1"/>
  <c r="U140" i="5"/>
  <c r="V140" i="5"/>
  <c r="W140" i="5" s="1"/>
  <c r="P141" i="5" l="1"/>
  <c r="R141" i="5" s="1"/>
  <c r="S141" i="5" s="1"/>
  <c r="T141" i="5" l="1"/>
  <c r="U141" i="5"/>
  <c r="V141" i="5" l="1"/>
  <c r="Y141" i="5"/>
  <c r="W141" i="5" l="1"/>
  <c r="P142" i="5"/>
  <c r="R142" i="5" s="1"/>
  <c r="S142" i="5" s="1"/>
  <c r="T142" i="5" l="1"/>
  <c r="V142" i="5" s="1"/>
  <c r="W142" i="5" s="1"/>
  <c r="Y142" i="5"/>
  <c r="U142" i="5" l="1"/>
  <c r="P143" i="5"/>
  <c r="R143" i="5" s="1"/>
  <c r="S143" i="5" s="1"/>
  <c r="T143" i="5" l="1"/>
  <c r="U143" i="5"/>
  <c r="Y143" i="5" l="1"/>
  <c r="V143" i="5"/>
  <c r="W143" i="5" l="1"/>
  <c r="P144" i="5"/>
  <c r="R144" i="5" l="1"/>
  <c r="S144" i="5" s="1"/>
  <c r="T144" i="5"/>
  <c r="U144" i="5" l="1"/>
  <c r="V144" i="5"/>
  <c r="W144" i="5" s="1"/>
  <c r="Y144" i="5"/>
  <c r="P145" i="5"/>
  <c r="R145" i="5" l="1"/>
  <c r="S145" i="5" s="1"/>
  <c r="T145" i="5" l="1"/>
  <c r="V145" i="5"/>
  <c r="W145" i="5" s="1"/>
  <c r="U145" i="5"/>
  <c r="Y145" i="5"/>
  <c r="P146" i="5"/>
  <c r="R146" i="5" l="1"/>
  <c r="S146" i="5" s="1"/>
  <c r="T146" i="5" l="1"/>
  <c r="V146" i="5" s="1"/>
  <c r="U146" i="5"/>
  <c r="Y146" i="5"/>
  <c r="W146" i="5" l="1"/>
  <c r="P147" i="5"/>
  <c r="R147" i="5"/>
  <c r="S147" i="5" s="1"/>
  <c r="T147" i="5" l="1"/>
  <c r="V147" i="5" s="1"/>
  <c r="U147" i="5" l="1"/>
  <c r="Y147" i="5"/>
  <c r="W147" i="5"/>
  <c r="P148" i="5"/>
  <c r="R148" i="5" s="1"/>
  <c r="S148" i="5" s="1"/>
  <c r="T148" i="5" l="1"/>
  <c r="Y148" i="5" s="1"/>
  <c r="V148" i="5"/>
  <c r="W148" i="5" s="1"/>
  <c r="U148" i="5"/>
  <c r="P149" i="5" l="1"/>
  <c r="R149" i="5" s="1"/>
  <c r="S149" i="5" s="1"/>
  <c r="T149" i="5" l="1"/>
  <c r="U149" i="5"/>
  <c r="Y149" i="5"/>
  <c r="V149" i="5"/>
  <c r="W149" i="5" s="1"/>
  <c r="P150" i="5" l="1"/>
  <c r="R150" i="5" l="1"/>
  <c r="S150" i="5" s="1"/>
  <c r="T150" i="5" l="1"/>
  <c r="Y150" i="5" s="1"/>
  <c r="V150" i="5"/>
  <c r="U150" i="5" l="1"/>
  <c r="W150" i="5"/>
  <c r="P151" i="5"/>
  <c r="R151" i="5" l="1"/>
  <c r="S151" i="5" s="1"/>
  <c r="T151" i="5" l="1"/>
  <c r="V151" i="5"/>
  <c r="U151" i="5"/>
  <c r="Y151" i="5"/>
  <c r="W151" i="5" l="1"/>
  <c r="P152" i="5"/>
  <c r="R152" i="5" l="1"/>
  <c r="S152" i="5" s="1"/>
  <c r="T152" i="5" l="1"/>
  <c r="U152" i="5"/>
  <c r="Y152" i="5"/>
  <c r="V152" i="5"/>
  <c r="W152" i="5" s="1"/>
  <c r="P153" i="5" l="1"/>
  <c r="R153" i="5" s="1"/>
  <c r="S153" i="5" l="1"/>
  <c r="T153" i="5"/>
  <c r="V153" i="5" s="1"/>
  <c r="U153" i="5"/>
  <c r="Y153" i="5"/>
  <c r="W153" i="5" l="1"/>
  <c r="P154" i="5"/>
  <c r="R154" i="5" l="1"/>
  <c r="S154" i="5" s="1"/>
  <c r="T154" i="5"/>
  <c r="V154" i="5" l="1"/>
  <c r="W154" i="5" s="1"/>
  <c r="Y154" i="5"/>
  <c r="P155" i="5"/>
  <c r="R155" i="5" s="1"/>
  <c r="S155" i="5" s="1"/>
  <c r="U154" i="5"/>
  <c r="T155" i="5" l="1"/>
  <c r="U155" i="5"/>
  <c r="V155" i="5" l="1"/>
  <c r="Y155" i="5"/>
  <c r="W155" i="5" l="1"/>
  <c r="P156" i="5"/>
  <c r="R156" i="5" l="1"/>
  <c r="S156" i="5" s="1"/>
  <c r="T156" i="5"/>
  <c r="Y156" i="5" l="1"/>
  <c r="V156" i="5"/>
  <c r="U156" i="5"/>
  <c r="W156" i="5" l="1"/>
  <c r="P157" i="5"/>
  <c r="R157" i="5" l="1"/>
  <c r="S157" i="5" s="1"/>
  <c r="T157" i="5" l="1"/>
  <c r="U157" i="5" s="1"/>
  <c r="Y157" i="5"/>
  <c r="V157" i="5"/>
  <c r="W157" i="5" l="1"/>
  <c r="P158" i="5"/>
  <c r="R158" i="5" s="1"/>
  <c r="S158" i="5" s="1"/>
  <c r="T158" i="5" l="1"/>
  <c r="Y158" i="5"/>
  <c r="V158" i="5"/>
  <c r="W158" i="5" s="1"/>
  <c r="U158" i="5"/>
  <c r="P159" i="5" l="1"/>
  <c r="R159" i="5" s="1"/>
  <c r="S159" i="5" s="1"/>
  <c r="T159" i="5" l="1"/>
  <c r="Y159" i="5" l="1"/>
  <c r="V159" i="5"/>
  <c r="W159" i="5" s="1"/>
  <c r="U159" i="5"/>
  <c r="P160" i="5" l="1"/>
  <c r="R160" i="5"/>
  <c r="S160" i="5" s="1"/>
  <c r="T160" i="5" l="1"/>
  <c r="U160" i="5"/>
  <c r="Y160" i="5"/>
  <c r="V160" i="5"/>
  <c r="W160" i="5" s="1"/>
  <c r="P161" i="5" l="1"/>
  <c r="R161" i="5" l="1"/>
  <c r="S161" i="5" s="1"/>
  <c r="T161" i="5" l="1"/>
  <c r="U161" i="5" s="1"/>
  <c r="Y161" i="5" l="1"/>
  <c r="V161" i="5"/>
  <c r="W161" i="5" s="1"/>
  <c r="P162" i="5"/>
  <c r="R162" i="5" s="1"/>
  <c r="S162" i="5" s="1"/>
  <c r="T162" i="5" l="1"/>
  <c r="V162" i="5" l="1"/>
  <c r="W162" i="5" s="1"/>
  <c r="U162" i="5"/>
  <c r="Y162" i="5"/>
  <c r="P163" i="5" l="1"/>
  <c r="R163" i="5" s="1"/>
  <c r="S163" i="5" s="1"/>
  <c r="T163" i="5" l="1"/>
  <c r="V163" i="5" s="1"/>
  <c r="Y163" i="5"/>
  <c r="U163" i="5"/>
  <c r="W163" i="5" l="1"/>
  <c r="P164" i="5"/>
  <c r="R164" i="5"/>
  <c r="S164" i="5" s="1"/>
  <c r="T164" i="5" l="1"/>
  <c r="Y164" i="5" l="1"/>
  <c r="V164" i="5"/>
  <c r="W164" i="5" s="1"/>
  <c r="U164" i="5"/>
  <c r="P165" i="5" l="1"/>
  <c r="R165" i="5"/>
  <c r="S165" i="5" s="1"/>
  <c r="T165" i="5" l="1"/>
  <c r="Y165" i="5"/>
  <c r="U165" i="5"/>
  <c r="V165" i="5"/>
  <c r="W165" i="5" s="1"/>
  <c r="P166" i="5" l="1"/>
  <c r="R166" i="5" l="1"/>
  <c r="S166" i="5" s="1"/>
  <c r="T166" i="5" l="1"/>
  <c r="U166" i="5" l="1"/>
  <c r="V166" i="5"/>
  <c r="W166" i="5" s="1"/>
  <c r="Y166" i="5"/>
  <c r="P167" i="5" l="1"/>
  <c r="R167" i="5" l="1"/>
  <c r="S167" i="5" s="1"/>
  <c r="T167" i="5" l="1"/>
  <c r="V167" i="5" s="1"/>
  <c r="W167" i="5" s="1"/>
  <c r="Y167" i="5" l="1"/>
  <c r="P168" i="5"/>
  <c r="U167" i="5"/>
  <c r="R168" i="5"/>
  <c r="S168" i="5" s="1"/>
  <c r="T168" i="5" l="1"/>
  <c r="V168" i="5" l="1"/>
  <c r="W168" i="5" s="1"/>
  <c r="Y168" i="5"/>
  <c r="U168" i="5"/>
  <c r="P169" i="5" l="1"/>
  <c r="R169" i="5" s="1"/>
  <c r="S169" i="5" l="1"/>
  <c r="T169" i="5"/>
  <c r="U169" i="5" s="1"/>
  <c r="Y169" i="5"/>
  <c r="V169" i="5" l="1"/>
  <c r="W169" i="5" s="1"/>
  <c r="P170" i="5" l="1"/>
  <c r="R170" i="5" s="1"/>
  <c r="S170" i="5" s="1"/>
  <c r="T170" i="5" l="1"/>
  <c r="V170" i="5" s="1"/>
  <c r="W170" i="5" s="1"/>
  <c r="U170" i="5"/>
  <c r="Y170" i="5"/>
  <c r="P171" i="5"/>
  <c r="R171" i="5" s="1"/>
  <c r="S171" i="5" s="1"/>
  <c r="T171" i="5" l="1"/>
  <c r="V171" i="5" l="1"/>
  <c r="W171" i="5" s="1"/>
  <c r="Y171" i="5"/>
  <c r="U171" i="5"/>
  <c r="P172" i="5" l="1"/>
  <c r="R172" i="5" s="1"/>
  <c r="S172" i="5" s="1"/>
  <c r="T172" i="5" l="1"/>
  <c r="V172" i="5" s="1"/>
  <c r="W172" i="5" s="1"/>
  <c r="Y172" i="5" l="1"/>
  <c r="U172" i="5"/>
  <c r="P173" i="5"/>
  <c r="R173" i="5" s="1"/>
  <c r="S173" i="5" s="1"/>
  <c r="T173" i="5" l="1"/>
  <c r="Y173" i="5"/>
  <c r="V173" i="5"/>
  <c r="W173" i="5" s="1"/>
  <c r="U173" i="5"/>
  <c r="P174" i="5" l="1"/>
  <c r="R174" i="5"/>
  <c r="S174" i="5" s="1"/>
  <c r="T174" i="5" l="1"/>
  <c r="Y174" i="5" l="1"/>
  <c r="V174" i="5"/>
  <c r="W174" i="5" s="1"/>
  <c r="U174" i="5"/>
  <c r="P175" i="5" l="1"/>
  <c r="R175" i="5"/>
  <c r="S175" i="5" s="1"/>
  <c r="T175" i="5" l="1"/>
  <c r="Y175" i="5" s="1"/>
  <c r="V175" i="5" l="1"/>
  <c r="W175" i="5" s="1"/>
  <c r="U175" i="5"/>
  <c r="P176" i="5"/>
  <c r="R176" i="5" l="1"/>
  <c r="S176" i="5" s="1"/>
  <c r="T176" i="5" l="1"/>
  <c r="V176" i="5" l="1"/>
  <c r="W176" i="5" s="1"/>
  <c r="Y176" i="5"/>
  <c r="U176" i="5"/>
  <c r="P177" i="5" l="1"/>
  <c r="R177" i="5"/>
  <c r="S177" i="5" s="1"/>
  <c r="T177" i="5" l="1"/>
  <c r="U177" i="5"/>
  <c r="Y177" i="5"/>
  <c r="V177" i="5"/>
  <c r="W177" i="5" s="1"/>
  <c r="P178" i="5" l="1"/>
  <c r="R178" i="5" s="1"/>
  <c r="S178" i="5" s="1"/>
  <c r="T178" i="5" l="1"/>
  <c r="V178" i="5" l="1"/>
  <c r="W178" i="5" s="1"/>
  <c r="U178" i="5"/>
  <c r="Y178" i="5"/>
  <c r="P179" i="5" l="1"/>
  <c r="R179" i="5" s="1"/>
  <c r="S179" i="5" s="1"/>
  <c r="T179" i="5" l="1"/>
  <c r="Y179" i="5" s="1"/>
  <c r="U179" i="5" l="1"/>
  <c r="V179" i="5"/>
  <c r="W179" i="5" s="1"/>
  <c r="P180" i="5" l="1"/>
  <c r="R180" i="5"/>
  <c r="S180" i="5" s="1"/>
  <c r="T180" i="5" l="1"/>
  <c r="V180" i="5" s="1"/>
  <c r="Y180" i="5"/>
  <c r="U180" i="5" l="1"/>
  <c r="W180" i="5"/>
  <c r="P181" i="5"/>
  <c r="R181" i="5" s="1"/>
  <c r="S181" i="5" s="1"/>
  <c r="T181" i="5" l="1"/>
  <c r="U181" i="5" s="1"/>
  <c r="V181" i="5" l="1"/>
  <c r="W181" i="5" s="1"/>
  <c r="Y181" i="5"/>
  <c r="P182" i="5" l="1"/>
  <c r="R182" i="5" s="1"/>
  <c r="S182" i="5" s="1"/>
  <c r="T182" i="5" l="1"/>
  <c r="Y182" i="5" l="1"/>
  <c r="U182" i="5"/>
  <c r="V182" i="5"/>
  <c r="W182" i="5" l="1"/>
  <c r="P183" i="5"/>
  <c r="R183" i="5" l="1"/>
  <c r="S183" i="5" s="1"/>
  <c r="T183" i="5" l="1"/>
  <c r="U183" i="5" s="1"/>
  <c r="Y183" i="5"/>
  <c r="V183" i="5" l="1"/>
  <c r="W183" i="5" l="1"/>
  <c r="P184" i="5"/>
  <c r="R184" i="5" s="1"/>
  <c r="S184" i="5" s="1"/>
  <c r="T184" i="5" l="1"/>
  <c r="V184" i="5" s="1"/>
  <c r="W184" i="5" s="1"/>
  <c r="Y184" i="5"/>
  <c r="U184" i="5"/>
  <c r="P185" i="5" l="1"/>
  <c r="R185" i="5" s="1"/>
  <c r="S185" i="5" s="1"/>
  <c r="T185" i="5"/>
  <c r="V185" i="5"/>
  <c r="W185" i="5" s="1"/>
  <c r="Y185" i="5"/>
  <c r="U185" i="5"/>
  <c r="P186" i="5" l="1"/>
  <c r="R186" i="5" l="1"/>
  <c r="S186" i="5" s="1"/>
  <c r="T186" i="5" l="1"/>
  <c r="U186" i="5"/>
  <c r="V186" i="5"/>
  <c r="W186" i="5" s="1"/>
  <c r="Y186" i="5"/>
  <c r="P187" i="5" l="1"/>
  <c r="R187" i="5"/>
  <c r="S187" i="5" s="1"/>
  <c r="T187" i="5" l="1"/>
  <c r="V187" i="5" s="1"/>
  <c r="W187" i="5" s="1"/>
  <c r="U187" i="5" l="1"/>
  <c r="P188" i="5"/>
  <c r="Y187" i="5"/>
  <c r="R188" i="5"/>
  <c r="S188" i="5" s="1"/>
  <c r="T188" i="5" l="1"/>
  <c r="V188" i="5" s="1"/>
  <c r="Y188" i="5"/>
  <c r="U188" i="5"/>
  <c r="W188" i="5" l="1"/>
  <c r="P189" i="5"/>
  <c r="R189" i="5" l="1"/>
  <c r="S189" i="5" s="1"/>
  <c r="T189" i="5" l="1"/>
  <c r="U189" i="5" s="1"/>
  <c r="V189" i="5" l="1"/>
  <c r="W189" i="5" s="1"/>
  <c r="Y189" i="5"/>
  <c r="P190" i="5" l="1"/>
  <c r="R190" i="5" s="1"/>
  <c r="S190" i="5" s="1"/>
  <c r="T190" i="5"/>
  <c r="V190" i="5"/>
  <c r="W190" i="5" s="1"/>
  <c r="U190" i="5"/>
  <c r="Y190" i="5"/>
  <c r="P191" i="5" l="1"/>
  <c r="R191" i="5" s="1"/>
  <c r="S191" i="5" s="1"/>
  <c r="T191" i="5"/>
  <c r="U191" i="5" l="1"/>
  <c r="Y191" i="5"/>
  <c r="V191" i="5"/>
  <c r="W191" i="5" l="1"/>
  <c r="P192" i="5"/>
  <c r="R192" i="5" s="1"/>
  <c r="S192" i="5" s="1"/>
  <c r="T192" i="5" l="1"/>
  <c r="U192" i="5" s="1"/>
  <c r="V192" i="5"/>
  <c r="W192" i="5" s="1"/>
  <c r="Y192" i="5"/>
  <c r="P193" i="5" l="1"/>
  <c r="R193" i="5"/>
  <c r="S193" i="5" s="1"/>
  <c r="T193" i="5" l="1"/>
  <c r="V193" i="5" s="1"/>
  <c r="Y193" i="5"/>
  <c r="U193" i="5"/>
  <c r="W193" i="5" l="1"/>
  <c r="P194" i="5"/>
  <c r="R194" i="5" s="1"/>
  <c r="S194" i="5" s="1"/>
  <c r="T194" i="5" l="1"/>
  <c r="V194" i="5" s="1"/>
  <c r="Y194" i="5"/>
  <c r="W194" i="5" l="1"/>
  <c r="P195" i="5"/>
  <c r="U194" i="5"/>
  <c r="R195" i="5"/>
  <c r="S195" i="5" s="1"/>
  <c r="T195" i="5" l="1"/>
  <c r="V195" i="5" s="1"/>
  <c r="W195" i="5" s="1"/>
  <c r="U195" i="5" l="1"/>
  <c r="P196" i="5"/>
  <c r="R196" i="5" s="1"/>
  <c r="S196" i="5" s="1"/>
  <c r="Y195" i="5"/>
  <c r="T196" i="5" l="1"/>
  <c r="U196" i="5" s="1"/>
  <c r="Y196" i="5" l="1"/>
  <c r="V196" i="5"/>
  <c r="W196" i="5" s="1"/>
  <c r="P197" i="5" l="1"/>
  <c r="R197" i="5" s="1"/>
  <c r="S197" i="5" s="1"/>
  <c r="T197" i="5" l="1"/>
  <c r="U197" i="5" s="1"/>
  <c r="Y197" i="5"/>
  <c r="V197" i="5"/>
  <c r="W197" i="5" s="1"/>
  <c r="P198" i="5" l="1"/>
  <c r="R198" i="5" s="1"/>
  <c r="S198" i="5" s="1"/>
  <c r="T198" i="5" l="1"/>
  <c r="Y198" i="5" l="1"/>
  <c r="V198" i="5"/>
  <c r="W198" i="5" s="1"/>
  <c r="U198" i="5"/>
  <c r="P199" i="5"/>
  <c r="R199" i="5" s="1"/>
  <c r="S199" i="5" s="1"/>
  <c r="T199" i="5" l="1"/>
  <c r="V199" i="5" s="1"/>
  <c r="W199" i="5" s="1"/>
  <c r="Y199" i="5"/>
  <c r="P200" i="5" l="1"/>
  <c r="R200" i="5" s="1"/>
  <c r="S200" i="5" s="1"/>
  <c r="U199" i="5"/>
  <c r="T200" i="5"/>
  <c r="Y200" i="5" s="1"/>
  <c r="U200" i="5" l="1"/>
  <c r="V200" i="5"/>
  <c r="W200" i="5" s="1"/>
  <c r="P201" i="5" l="1"/>
  <c r="R201" i="5"/>
  <c r="S201" i="5" s="1"/>
  <c r="T201" i="5" l="1"/>
  <c r="V201" i="5" s="1"/>
  <c r="W201" i="5" s="1"/>
  <c r="U201" i="5" l="1"/>
  <c r="Y201" i="5"/>
  <c r="P202" i="5"/>
  <c r="R202" i="5" l="1"/>
  <c r="S202" i="5" s="1"/>
  <c r="T202" i="5" l="1"/>
  <c r="V202" i="5" s="1"/>
  <c r="Y202" i="5"/>
  <c r="W202" i="5" l="1"/>
  <c r="P203" i="5"/>
  <c r="R203" i="5" s="1"/>
  <c r="S203" i="5" s="1"/>
  <c r="U202" i="5"/>
  <c r="T203" i="5" l="1"/>
  <c r="V203" i="5" l="1"/>
  <c r="W203" i="5" s="1"/>
  <c r="U203" i="5"/>
  <c r="Y203" i="5"/>
  <c r="P204" i="5" l="1"/>
  <c r="R204" i="5" l="1"/>
  <c r="S204" i="5" s="1"/>
  <c r="T204" i="5" l="1"/>
  <c r="U204" i="5" s="1"/>
  <c r="V204" i="5"/>
  <c r="W204" i="5" s="1"/>
  <c r="Y204" i="5"/>
  <c r="P205" i="5" l="1"/>
  <c r="R205" i="5" l="1"/>
  <c r="S205" i="5" s="1"/>
  <c r="T205" i="5" l="1"/>
  <c r="Y205" i="5" s="1"/>
  <c r="U205" i="5"/>
  <c r="V205" i="5"/>
  <c r="W205" i="5" s="1"/>
  <c r="P206" i="5" l="1"/>
  <c r="R206" i="5" l="1"/>
  <c r="S206" i="5" s="1"/>
  <c r="T206" i="5" l="1"/>
  <c r="U206" i="5" l="1"/>
  <c r="V206" i="5"/>
  <c r="W206" i="5" s="1"/>
  <c r="Y206" i="5"/>
  <c r="P207" i="5" l="1"/>
  <c r="R207" i="5" s="1"/>
  <c r="S207" i="5" s="1"/>
  <c r="T207" i="5" l="1"/>
  <c r="U207" i="5" s="1"/>
  <c r="Y207" i="5" l="1"/>
  <c r="V207" i="5"/>
  <c r="W207" i="5" s="1"/>
  <c r="P208" i="5" l="1"/>
  <c r="R208" i="5" s="1"/>
  <c r="S208" i="5" s="1"/>
  <c r="T208" i="5" l="1"/>
  <c r="V208" i="5" l="1"/>
  <c r="W208" i="5" s="1"/>
  <c r="U208" i="5"/>
  <c r="Y208" i="5"/>
  <c r="P209" i="5" l="1"/>
  <c r="R209" i="5" s="1"/>
  <c r="S209" i="5" s="1"/>
  <c r="T209" i="5" l="1"/>
  <c r="U209" i="5" s="1"/>
  <c r="V209" i="5" l="1"/>
  <c r="W209" i="5" s="1"/>
  <c r="Y209" i="5"/>
  <c r="P210" i="5" l="1"/>
  <c r="R210" i="5" s="1"/>
  <c r="S210" i="5" s="1"/>
  <c r="T210" i="5" l="1"/>
  <c r="U210" i="5" s="1"/>
  <c r="V210" i="5"/>
  <c r="W210" i="5" s="1"/>
  <c r="Y210" i="5"/>
  <c r="P211" i="5" l="1"/>
  <c r="R211" i="5" s="1"/>
  <c r="S211" i="5" s="1"/>
  <c r="T211" i="5"/>
  <c r="U211" i="5" s="1"/>
  <c r="Y211" i="5" l="1"/>
  <c r="V211" i="5"/>
  <c r="W211" i="5" s="1"/>
  <c r="P212" i="5" l="1"/>
  <c r="R212" i="5" s="1"/>
  <c r="S212" i="5" s="1"/>
  <c r="T212" i="5" l="1"/>
  <c r="U212" i="5" s="1"/>
  <c r="Y212" i="5" l="1"/>
  <c r="V212" i="5"/>
  <c r="W212" i="5" s="1"/>
  <c r="P213" i="5" l="1"/>
  <c r="R213" i="5" l="1"/>
  <c r="S213" i="5" s="1"/>
  <c r="T213" i="5" l="1"/>
  <c r="V213" i="5"/>
  <c r="W213" i="5" s="1"/>
  <c r="U213" i="5"/>
  <c r="Y213" i="5"/>
  <c r="P214" i="5"/>
  <c r="R214" i="5" s="1"/>
  <c r="S214" i="5" s="1"/>
  <c r="T214" i="5" l="1"/>
  <c r="U214" i="5"/>
  <c r="V214" i="5"/>
  <c r="W214" i="5" s="1"/>
  <c r="Y214" i="5"/>
  <c r="P215" i="5" l="1"/>
  <c r="R215" i="5"/>
  <c r="S215" i="5" s="1"/>
  <c r="T215" i="5" l="1"/>
  <c r="U215" i="5"/>
  <c r="Y215" i="5"/>
  <c r="V215" i="5"/>
  <c r="W215" i="5" s="1"/>
  <c r="P216" i="5" l="1"/>
  <c r="R216" i="5" s="1"/>
  <c r="S216" i="5" s="1"/>
  <c r="T216" i="5" l="1"/>
  <c r="Y216" i="5" s="1"/>
  <c r="U216" i="5" l="1"/>
  <c r="V216" i="5"/>
  <c r="W216" i="5" s="1"/>
  <c r="P217" i="5" l="1"/>
  <c r="R217" i="5" s="1"/>
  <c r="S217" i="5" s="1"/>
  <c r="T217" i="5" l="1"/>
  <c r="Y217" i="5" l="1"/>
  <c r="V217" i="5"/>
  <c r="W217" i="5" s="1"/>
  <c r="U217" i="5"/>
  <c r="P218" i="5" l="1"/>
  <c r="R218" i="5" s="1"/>
  <c r="S218" i="5" s="1"/>
  <c r="T218" i="5" l="1"/>
  <c r="V218" i="5" l="1"/>
  <c r="W218" i="5" s="1"/>
  <c r="U218" i="5"/>
  <c r="Y218" i="5"/>
  <c r="P219" i="5" l="1"/>
  <c r="R219" i="5" s="1"/>
  <c r="S219" i="5" s="1"/>
  <c r="T219" i="5" l="1"/>
  <c r="U219" i="5" s="1"/>
  <c r="V219" i="5" l="1"/>
  <c r="W219" i="5" s="1"/>
  <c r="Y219" i="5"/>
  <c r="P220" i="5" l="1"/>
  <c r="R220" i="5" s="1"/>
  <c r="S220" i="5" s="1"/>
  <c r="T220" i="5" l="1"/>
  <c r="Y220" i="5"/>
  <c r="V220" i="5"/>
  <c r="W220" i="5" s="1"/>
  <c r="U220" i="5"/>
  <c r="P221" i="5" l="1"/>
  <c r="R221" i="5" s="1"/>
  <c r="S221" i="5" s="1"/>
  <c r="T221" i="5" l="1"/>
  <c r="V221" i="5" l="1"/>
  <c r="W221" i="5" s="1"/>
  <c r="Y221" i="5"/>
  <c r="U221" i="5"/>
  <c r="P222" i="5" l="1"/>
  <c r="R222" i="5" s="1"/>
  <c r="S222" i="5" s="1"/>
  <c r="T222" i="5" l="1"/>
  <c r="V222" i="5"/>
  <c r="W222" i="5" s="1"/>
  <c r="Y222" i="5"/>
  <c r="U222" i="5"/>
  <c r="P223" i="5" l="1"/>
  <c r="R223" i="5" l="1"/>
  <c r="S223" i="5" s="1"/>
  <c r="T223" i="5" l="1"/>
  <c r="U223" i="5" s="1"/>
  <c r="V223" i="5"/>
  <c r="W223" i="5" s="1"/>
  <c r="Y223" i="5"/>
  <c r="P224" i="5" l="1"/>
  <c r="R224" i="5" s="1"/>
  <c r="S224" i="5" s="1"/>
  <c r="T224" i="5" l="1"/>
  <c r="Y224" i="5" s="1"/>
  <c r="V224" i="5" l="1"/>
  <c r="W224" i="5" s="1"/>
  <c r="U224" i="5"/>
  <c r="P225" i="5"/>
  <c r="R225" i="5" s="1"/>
  <c r="S225" i="5" l="1"/>
  <c r="T225" i="5"/>
  <c r="Y225" i="5"/>
  <c r="V225" i="5"/>
  <c r="W225" i="5" s="1"/>
  <c r="U225" i="5"/>
  <c r="P226" i="5" l="1"/>
  <c r="R226" i="5"/>
  <c r="S226" i="5" s="1"/>
  <c r="T226" i="5" l="1"/>
  <c r="U226" i="5" s="1"/>
  <c r="Y226" i="5" l="1"/>
  <c r="V226" i="5"/>
  <c r="W226" i="5" s="1"/>
  <c r="P227" i="5"/>
  <c r="R227" i="5" s="1"/>
  <c r="S227" i="5" s="1"/>
  <c r="T227" i="5" l="1"/>
  <c r="Y227" i="5" l="1"/>
  <c r="V227" i="5"/>
  <c r="W227" i="5" s="1"/>
  <c r="U227" i="5"/>
  <c r="P228" i="5" l="1"/>
  <c r="R228" i="5" s="1"/>
  <c r="S228" i="5" s="1"/>
  <c r="T228" i="5" l="1"/>
  <c r="U228" i="5" s="1"/>
  <c r="Y228" i="5"/>
  <c r="V228" i="5" l="1"/>
  <c r="W228" i="5" s="1"/>
  <c r="P229" i="5"/>
  <c r="R229" i="5" s="1"/>
  <c r="S229" i="5" l="1"/>
  <c r="T229" i="5"/>
  <c r="Y229" i="5"/>
  <c r="V229" i="5"/>
  <c r="W229" i="5" s="1"/>
  <c r="U229" i="5"/>
  <c r="P230" i="5" l="1"/>
  <c r="R230" i="5"/>
  <c r="S230" i="5" s="1"/>
  <c r="T230" i="5" l="1"/>
  <c r="Y230" i="5" s="1"/>
  <c r="U230" i="5" l="1"/>
  <c r="V230" i="5"/>
  <c r="W230" i="5" s="1"/>
  <c r="P231" i="5" l="1"/>
  <c r="R231" i="5" s="1"/>
  <c r="S231" i="5" s="1"/>
  <c r="T231" i="5" l="1"/>
  <c r="U231" i="5" l="1"/>
  <c r="Y231" i="5"/>
  <c r="V231" i="5"/>
  <c r="W231" i="5" s="1"/>
  <c r="P232" i="5" l="1"/>
  <c r="R232" i="5" s="1"/>
  <c r="S232" i="5" s="1"/>
  <c r="T232" i="5" l="1"/>
  <c r="V232" i="5"/>
  <c r="W232" i="5" s="1"/>
  <c r="U232" i="5"/>
  <c r="Y232" i="5"/>
  <c r="P233" i="5" l="1"/>
  <c r="R233" i="5"/>
  <c r="S233" i="5" s="1"/>
  <c r="T233" i="5" l="1"/>
  <c r="U233" i="5" s="1"/>
  <c r="Y233" i="5"/>
  <c r="V233" i="5" l="1"/>
  <c r="W233" i="5" s="1"/>
  <c r="P234" i="5" l="1"/>
  <c r="R234" i="5"/>
  <c r="S234" i="5" s="1"/>
  <c r="T234" i="5" l="1"/>
  <c r="Y234" i="5" s="1"/>
  <c r="U234" i="5"/>
  <c r="V234" i="5" l="1"/>
  <c r="W234" i="5" s="1"/>
  <c r="P235" i="5" l="1"/>
  <c r="R235" i="5" s="1"/>
  <c r="S235" i="5" s="1"/>
  <c r="T235" i="5" l="1"/>
  <c r="U235" i="5" l="1"/>
  <c r="Y235" i="5"/>
  <c r="V235" i="5"/>
  <c r="W235" i="5" l="1"/>
  <c r="P236" i="5"/>
  <c r="R236" i="5" l="1"/>
  <c r="S236" i="5" s="1"/>
  <c r="T236" i="5" l="1"/>
  <c r="Y236" i="5" l="1"/>
  <c r="U236" i="5"/>
  <c r="V236" i="5"/>
  <c r="W236" i="5" s="1"/>
  <c r="P237" i="5" l="1"/>
  <c r="R237" i="5" l="1"/>
  <c r="S237" i="5" s="1"/>
  <c r="T237" i="5"/>
  <c r="U237" i="5" l="1"/>
  <c r="Y237" i="5"/>
  <c r="V237" i="5"/>
  <c r="W237" i="5" s="1"/>
  <c r="P238" i="5" l="1"/>
  <c r="R238" i="5" l="1"/>
  <c r="S238" i="5" s="1"/>
  <c r="T238" i="5"/>
  <c r="U238" i="5" l="1"/>
  <c r="Y238" i="5"/>
  <c r="V238" i="5"/>
  <c r="W238" i="5" s="1"/>
  <c r="P239" i="5" l="1"/>
  <c r="R239" i="5" l="1"/>
  <c r="S239" i="5" s="1"/>
  <c r="T239" i="5"/>
  <c r="U239" i="5" l="1"/>
  <c r="Y239" i="5"/>
  <c r="V239" i="5"/>
  <c r="W239" i="5" s="1"/>
  <c r="P240" i="5" l="1"/>
  <c r="R240" i="5" l="1"/>
  <c r="S240" i="5" s="1"/>
  <c r="T240" i="5"/>
  <c r="U240" i="5" l="1"/>
  <c r="V240" i="5"/>
  <c r="W240" i="5" s="1"/>
  <c r="Y240" i="5"/>
  <c r="P241" i="5"/>
  <c r="R241" i="5" l="1"/>
  <c r="S241" i="5" s="1"/>
  <c r="T241" i="5"/>
  <c r="V241" i="5" l="1"/>
  <c r="W241" i="5" s="1"/>
  <c r="U241" i="5"/>
  <c r="Y241" i="5"/>
  <c r="P242" i="5"/>
  <c r="R242" i="5" l="1"/>
  <c r="S242" i="5" s="1"/>
  <c r="T242" i="5" l="1"/>
  <c r="V242" i="5"/>
  <c r="W242" i="5" s="1"/>
  <c r="U242" i="5"/>
  <c r="Y242" i="5"/>
  <c r="P243" i="5" l="1"/>
  <c r="R243" i="5"/>
  <c r="S243" i="5" s="1"/>
  <c r="T243" i="5" l="1"/>
  <c r="Y243" i="5"/>
  <c r="U243" i="5"/>
  <c r="V243" i="5"/>
  <c r="W243" i="5" s="1"/>
  <c r="P244" i="5" l="1"/>
  <c r="R244" i="5" s="1"/>
  <c r="S244" i="5" s="1"/>
  <c r="T244" i="5" l="1"/>
  <c r="V244" i="5" s="1"/>
  <c r="U244" i="5"/>
  <c r="Y244" i="5"/>
  <c r="W244" i="5" l="1"/>
  <c r="P245" i="5"/>
  <c r="R245" i="5"/>
  <c r="S245" i="5" s="1"/>
  <c r="T245" i="5" l="1"/>
  <c r="U245" i="5"/>
  <c r="Y245" i="5"/>
  <c r="V245" i="5"/>
  <c r="W245" i="5" s="1"/>
  <c r="P246" i="5" l="1"/>
  <c r="R246" i="5" l="1"/>
  <c r="S246" i="5" s="1"/>
  <c r="T246" i="5"/>
  <c r="V246" i="5" l="1"/>
  <c r="U246" i="5"/>
  <c r="Y246" i="5"/>
  <c r="W246" i="5" l="1"/>
  <c r="P247" i="5"/>
  <c r="R247" i="5" l="1"/>
  <c r="S247" i="5" s="1"/>
  <c r="T247" i="5" l="1"/>
  <c r="Y247" i="5" l="1"/>
  <c r="U247" i="5"/>
  <c r="V247" i="5"/>
  <c r="W247" i="5" s="1"/>
  <c r="P248" i="5" l="1"/>
  <c r="R248" i="5" s="1"/>
  <c r="S248" i="5" s="1"/>
  <c r="T248" i="5"/>
  <c r="Y248" i="5" s="1"/>
  <c r="V248" i="5" l="1"/>
  <c r="W248" i="5" s="1"/>
  <c r="U248" i="5"/>
  <c r="P249" i="5" l="1"/>
  <c r="R249" i="5"/>
  <c r="S249" i="5" s="1"/>
  <c r="T249" i="5" l="1"/>
  <c r="V249" i="5" l="1"/>
  <c r="W249" i="5" s="1"/>
  <c r="U249" i="5"/>
  <c r="P250" i="5"/>
  <c r="Y249" i="5"/>
  <c r="R250" i="5" l="1"/>
  <c r="S250" i="5" s="1"/>
  <c r="T250" i="5" l="1"/>
  <c r="Y250" i="5" s="1"/>
  <c r="U250" i="5" l="1"/>
  <c r="V250" i="5"/>
  <c r="W250" i="5" s="1"/>
  <c r="P251" i="5"/>
  <c r="R251" i="5" l="1"/>
  <c r="S251" i="5" s="1"/>
  <c r="T251" i="5" l="1"/>
  <c r="U251" i="5" s="1"/>
  <c r="Y251" i="5"/>
  <c r="V251" i="5" l="1"/>
  <c r="W251" i="5" l="1"/>
  <c r="P252" i="5"/>
  <c r="R252" i="5" l="1"/>
  <c r="S252" i="5" s="1"/>
  <c r="T252" i="5" l="1"/>
  <c r="V252" i="5" l="1"/>
  <c r="W252" i="5" s="1"/>
  <c r="U252" i="5"/>
  <c r="Y252" i="5"/>
  <c r="P253" i="5" l="1"/>
  <c r="R253" i="5"/>
  <c r="S253" i="5" s="1"/>
  <c r="T253" i="5" l="1"/>
  <c r="Y253" i="5" l="1"/>
  <c r="U253" i="5"/>
  <c r="V253" i="5"/>
  <c r="W253" i="5" s="1"/>
  <c r="P254" i="5" l="1"/>
  <c r="R254" i="5" s="1"/>
  <c r="S254" i="5" s="1"/>
  <c r="T254" i="5" l="1"/>
  <c r="Y254" i="5" l="1"/>
  <c r="V254" i="5"/>
  <c r="W254" i="5" s="1"/>
  <c r="U254" i="5"/>
  <c r="P255" i="5" l="1"/>
  <c r="R255" i="5" s="1"/>
  <c r="S255" i="5" s="1"/>
  <c r="T255" i="5" l="1"/>
  <c r="V255" i="5" s="1"/>
  <c r="W255" i="5" s="1"/>
  <c r="U255" i="5" l="1"/>
  <c r="Y255" i="5"/>
  <c r="P256" i="5"/>
  <c r="R256" i="5" l="1"/>
  <c r="S256" i="5" s="1"/>
  <c r="T256" i="5" l="1"/>
  <c r="U256" i="5" l="1"/>
  <c r="V256" i="5"/>
  <c r="W256" i="5" s="1"/>
  <c r="Y256" i="5"/>
  <c r="P257" i="5" l="1"/>
  <c r="R257" i="5"/>
  <c r="S257" i="5" s="1"/>
  <c r="T257" i="5" l="1"/>
  <c r="Y257" i="5" l="1"/>
  <c r="U257" i="5"/>
  <c r="V257" i="5"/>
  <c r="W257" i="5" s="1"/>
  <c r="P258" i="5" l="1"/>
  <c r="R258" i="5" l="1"/>
  <c r="S258" i="5" s="1"/>
  <c r="T258" i="5" l="1"/>
  <c r="V258" i="5" s="1"/>
  <c r="W258" i="5" s="1"/>
  <c r="U258" i="5"/>
  <c r="Y258" i="5"/>
  <c r="P259" i="5" l="1"/>
  <c r="R259" i="5"/>
  <c r="S259" i="5" s="1"/>
  <c r="T259" i="5" l="1"/>
  <c r="U259" i="5"/>
  <c r="V259" i="5"/>
  <c r="W259" i="5" s="1"/>
  <c r="Y259" i="5"/>
  <c r="P260" i="5" l="1"/>
  <c r="R260" i="5" l="1"/>
  <c r="S260" i="5" s="1"/>
  <c r="T260" i="5" l="1"/>
  <c r="Y260" i="5" l="1"/>
  <c r="U260" i="5"/>
  <c r="V260" i="5"/>
  <c r="W260" i="5" s="1"/>
  <c r="P261" i="5" l="1"/>
  <c r="R261" i="5" l="1"/>
  <c r="S261" i="5" s="1"/>
  <c r="T261" i="5" l="1"/>
  <c r="U261" i="5"/>
  <c r="Y261" i="5"/>
  <c r="V261" i="5"/>
  <c r="W261" i="5" s="1"/>
  <c r="P262" i="5" l="1"/>
  <c r="R262" i="5" l="1"/>
  <c r="S262" i="5" s="1"/>
  <c r="T262" i="5" l="1"/>
  <c r="V262" i="5"/>
  <c r="W262" i="5" s="1"/>
  <c r="U262" i="5"/>
  <c r="Y262" i="5"/>
  <c r="P263" i="5" l="1"/>
  <c r="R263" i="5"/>
  <c r="S263" i="5" s="1"/>
  <c r="T263" i="5" l="1"/>
  <c r="U263" i="5" s="1"/>
  <c r="Y263" i="5" l="1"/>
  <c r="V263" i="5"/>
  <c r="W263" i="5" s="1"/>
  <c r="P264" i="5" l="1"/>
  <c r="R264" i="5" s="1"/>
  <c r="S264" i="5" s="1"/>
  <c r="T264" i="5"/>
  <c r="U264" i="5" s="1"/>
  <c r="V264" i="5" l="1"/>
  <c r="W264" i="5" s="1"/>
  <c r="Y264" i="5"/>
  <c r="P265" i="5"/>
  <c r="R265" i="5" l="1"/>
  <c r="S265" i="5" s="1"/>
  <c r="T265" i="5" l="1"/>
  <c r="Y265" i="5" s="1"/>
  <c r="U265" i="5" l="1"/>
  <c r="V265" i="5"/>
  <c r="W265" i="5" s="1"/>
  <c r="P266" i="5" l="1"/>
  <c r="R266" i="5" s="1"/>
  <c r="S266" i="5" s="1"/>
  <c r="T266" i="5" l="1"/>
  <c r="U266" i="5" s="1"/>
  <c r="Y266" i="5" l="1"/>
  <c r="V266" i="5"/>
  <c r="W266" i="5" l="1"/>
  <c r="P267" i="5"/>
  <c r="R267" i="5" l="1"/>
  <c r="S267" i="5" s="1"/>
  <c r="T267" i="5" l="1"/>
  <c r="V267" i="5" l="1"/>
  <c r="W267" i="5" s="1"/>
  <c r="U267" i="5"/>
  <c r="Y267" i="5"/>
  <c r="P268" i="5"/>
  <c r="R268" i="5" l="1"/>
  <c r="S268" i="5" s="1"/>
  <c r="T268" i="5" l="1"/>
  <c r="V268" i="5"/>
  <c r="W268" i="5" s="1"/>
  <c r="Y268" i="5"/>
  <c r="U268" i="5"/>
  <c r="P269" i="5"/>
  <c r="R269" i="5" s="1"/>
  <c r="S269" i="5" s="1"/>
  <c r="T269" i="5" l="1"/>
  <c r="V269" i="5" s="1"/>
  <c r="W269" i="5" s="1"/>
  <c r="Y269" i="5"/>
  <c r="U269" i="5"/>
  <c r="P270" i="5" l="1"/>
  <c r="R270" i="5" s="1"/>
  <c r="S270" i="5" l="1"/>
  <c r="T270" i="5"/>
  <c r="U270" i="5"/>
  <c r="V270" i="5"/>
  <c r="W270" i="5" s="1"/>
  <c r="Y270" i="5"/>
  <c r="P271" i="5"/>
  <c r="R271" i="5" l="1"/>
  <c r="S271" i="5" s="1"/>
  <c r="T271" i="5" l="1"/>
  <c r="Y271" i="5" s="1"/>
  <c r="V271" i="5"/>
  <c r="W271" i="5" s="1"/>
  <c r="P272" i="5" l="1"/>
  <c r="U271" i="5"/>
  <c r="R272" i="5"/>
  <c r="S272" i="5" s="1"/>
  <c r="T272" i="5" l="1"/>
  <c r="U272" i="5" s="1"/>
  <c r="Y272" i="5"/>
  <c r="V272" i="5" l="1"/>
  <c r="W272" i="5" s="1"/>
  <c r="P273" i="5" l="1"/>
  <c r="R273" i="5" s="1"/>
  <c r="S273" i="5" s="1"/>
  <c r="T273" i="5" l="1"/>
  <c r="U273" i="5"/>
  <c r="V273" i="5" l="1"/>
  <c r="Y273" i="5"/>
  <c r="W273" i="5" l="1"/>
  <c r="P274" i="5"/>
  <c r="R274" i="5" l="1"/>
  <c r="S274" i="5" s="1"/>
  <c r="T274" i="5" l="1"/>
  <c r="V274" i="5" s="1"/>
  <c r="W274" i="5" s="1"/>
  <c r="Y274" i="5" l="1"/>
  <c r="P275" i="5"/>
  <c r="U274" i="5"/>
  <c r="R275" i="5"/>
  <c r="S275" i="5" s="1"/>
  <c r="T275" i="5" l="1"/>
  <c r="Y275" i="5"/>
  <c r="V275" i="5"/>
  <c r="W275" i="5" s="1"/>
  <c r="U275" i="5"/>
  <c r="P276" i="5" l="1"/>
  <c r="R276" i="5" l="1"/>
  <c r="S276" i="5" s="1"/>
  <c r="T276" i="5"/>
  <c r="Y276" i="5" l="1"/>
  <c r="U276" i="5"/>
  <c r="V276" i="5"/>
  <c r="W276" i="5" s="1"/>
  <c r="P277" i="5" l="1"/>
  <c r="R277" i="5" l="1"/>
  <c r="S277" i="5" s="1"/>
  <c r="T277" i="5"/>
  <c r="U277" i="5" l="1"/>
  <c r="V277" i="5"/>
  <c r="W277" i="5" s="1"/>
  <c r="Y277" i="5"/>
  <c r="P278" i="5" l="1"/>
  <c r="R278" i="5"/>
  <c r="S278" i="5" s="1"/>
  <c r="T278" i="5" l="1"/>
  <c r="U278" i="5"/>
  <c r="V278" i="5"/>
  <c r="W278" i="5" s="1"/>
  <c r="Y278" i="5"/>
  <c r="P279" i="5" l="1"/>
  <c r="R279" i="5" l="1"/>
  <c r="S279" i="5" s="1"/>
  <c r="T279" i="5"/>
  <c r="U279" i="5" l="1"/>
  <c r="Y279" i="5"/>
  <c r="V279" i="5"/>
  <c r="W279" i="5" s="1"/>
  <c r="P280" i="5" l="1"/>
  <c r="R280" i="5" l="1"/>
  <c r="S280" i="5" s="1"/>
  <c r="T280" i="5" l="1"/>
  <c r="V280" i="5" s="1"/>
  <c r="Y280" i="5"/>
  <c r="U280" i="5"/>
  <c r="W280" i="5" l="1"/>
  <c r="P281" i="5"/>
  <c r="R281" i="5"/>
  <c r="S281" i="5" s="1"/>
  <c r="T281" i="5" l="1"/>
  <c r="V281" i="5"/>
  <c r="W281" i="5" s="1"/>
  <c r="U281" i="5"/>
  <c r="Y281" i="5"/>
  <c r="P282" i="5"/>
  <c r="R282" i="5" l="1"/>
  <c r="S282" i="5" s="1"/>
  <c r="T282" i="5" l="1"/>
  <c r="V282" i="5"/>
  <c r="W282" i="5" s="1"/>
  <c r="U282" i="5"/>
  <c r="Y282" i="5"/>
  <c r="P283" i="5"/>
  <c r="R283" i="5" l="1"/>
  <c r="S283" i="5" s="1"/>
  <c r="T283" i="5" l="1"/>
  <c r="V283" i="5"/>
  <c r="U283" i="5"/>
  <c r="Y283" i="5"/>
  <c r="W283" i="5" l="1"/>
  <c r="P284" i="5"/>
  <c r="R284" i="5" l="1"/>
  <c r="S284" i="5" s="1"/>
  <c r="T284" i="5" l="1"/>
  <c r="U284" i="5"/>
  <c r="Y284" i="5"/>
  <c r="V284" i="5"/>
  <c r="W284" i="5" s="1"/>
  <c r="P285" i="5" l="1"/>
  <c r="R285" i="5" s="1"/>
  <c r="S285" i="5" s="1"/>
  <c r="T285" i="5" l="1"/>
  <c r="Y285" i="5" l="1"/>
  <c r="U285" i="5"/>
  <c r="V285" i="5"/>
  <c r="W285" i="5" l="1"/>
  <c r="P286" i="5"/>
  <c r="R286" i="5" l="1"/>
  <c r="S286" i="5" s="1"/>
  <c r="T286" i="5" l="1"/>
  <c r="V286" i="5" l="1"/>
  <c r="W286" i="5" s="1"/>
  <c r="Y286" i="5"/>
  <c r="U286" i="5"/>
  <c r="P287" i="5" l="1"/>
  <c r="R287" i="5" l="1"/>
  <c r="S287" i="5" s="1"/>
  <c r="T287" i="5"/>
  <c r="Y287" i="5" l="1"/>
  <c r="U287" i="5"/>
  <c r="V287" i="5"/>
  <c r="W287" i="5" s="1"/>
  <c r="P288" i="5" l="1"/>
  <c r="R288" i="5" l="1"/>
  <c r="S288" i="5" s="1"/>
  <c r="T288" i="5" l="1"/>
  <c r="U288" i="5" l="1"/>
  <c r="V288" i="5"/>
  <c r="W288" i="5" s="1"/>
  <c r="Y288" i="5"/>
  <c r="P289" i="5" l="1"/>
  <c r="R289" i="5" l="1"/>
  <c r="S289" i="5" s="1"/>
  <c r="T289" i="5"/>
  <c r="V289" i="5" l="1"/>
  <c r="W289" i="5" s="1"/>
  <c r="U289" i="5"/>
  <c r="P290" i="5"/>
  <c r="Y289" i="5"/>
  <c r="R290" i="5" l="1"/>
  <c r="S290" i="5" s="1"/>
  <c r="T290" i="5"/>
  <c r="U290" i="5" l="1"/>
  <c r="V290" i="5"/>
  <c r="W290" i="5" s="1"/>
  <c r="Y290" i="5"/>
  <c r="P291" i="5" l="1"/>
  <c r="R291" i="5"/>
  <c r="S291" i="5" s="1"/>
  <c r="T291" i="5" l="1"/>
  <c r="U291" i="5" l="1"/>
  <c r="V291" i="5"/>
  <c r="W291" i="5" s="1"/>
  <c r="Y291" i="5"/>
  <c r="P292" i="5"/>
  <c r="R292" i="5" l="1"/>
  <c r="S292" i="5" s="1"/>
  <c r="T292" i="5" l="1"/>
  <c r="U292" i="5"/>
  <c r="Y292" i="5"/>
  <c r="V292" i="5"/>
  <c r="W292" i="5" s="1"/>
  <c r="P293" i="5"/>
  <c r="R293" i="5" l="1"/>
  <c r="S293" i="5" s="1"/>
  <c r="T293" i="5"/>
  <c r="V293" i="5" l="1"/>
  <c r="W293" i="5" s="1"/>
  <c r="Y293" i="5"/>
  <c r="U293" i="5"/>
  <c r="P294" i="5"/>
  <c r="R294" i="5" l="1"/>
  <c r="S294" i="5" s="1"/>
  <c r="T294" i="5" l="1"/>
  <c r="Y294" i="5" l="1"/>
  <c r="V294" i="5"/>
  <c r="W294" i="5" s="1"/>
  <c r="U294" i="5"/>
  <c r="P295" i="5"/>
  <c r="R295" i="5" l="1"/>
  <c r="S295" i="5" s="1"/>
  <c r="T295" i="5"/>
  <c r="V295" i="5" l="1"/>
  <c r="Y295" i="5"/>
  <c r="U295" i="5"/>
  <c r="W295" i="5" l="1"/>
  <c r="P296" i="5"/>
  <c r="R296" i="5" l="1"/>
  <c r="S296" i="5" s="1"/>
  <c r="T296" i="5"/>
  <c r="V296" i="5" l="1"/>
  <c r="W296" i="5" s="1"/>
  <c r="Y296" i="5"/>
  <c r="U296" i="5"/>
  <c r="P297" i="5" l="1"/>
  <c r="R297" i="5" l="1"/>
  <c r="S297" i="5" s="1"/>
  <c r="T297" i="5"/>
  <c r="Y297" i="5" l="1"/>
  <c r="U297" i="5"/>
  <c r="V297" i="5"/>
  <c r="W297" i="5" l="1"/>
  <c r="P298" i="5"/>
  <c r="R298" i="5" l="1"/>
  <c r="S298" i="5" s="1"/>
  <c r="T298" i="5"/>
  <c r="V298" i="5" l="1"/>
  <c r="Y298" i="5"/>
  <c r="U298" i="5"/>
  <c r="W298" i="5" l="1"/>
  <c r="P299" i="5"/>
  <c r="R299" i="5" s="1"/>
  <c r="S299" i="5" s="1"/>
  <c r="T299" i="5" l="1"/>
  <c r="Y299" i="5" s="1"/>
  <c r="U299" i="5" l="1"/>
  <c r="V299" i="5"/>
  <c r="W299" i="5" l="1"/>
  <c r="P300" i="5"/>
  <c r="R300" i="5" l="1"/>
  <c r="S300" i="5" s="1"/>
  <c r="T300" i="5" l="1"/>
  <c r="Y300" i="5"/>
  <c r="V300" i="5"/>
  <c r="U300" i="5"/>
  <c r="W300" i="5" l="1"/>
  <c r="P301" i="5"/>
  <c r="R301" i="5" l="1"/>
  <c r="S301" i="5" s="1"/>
  <c r="T301" i="5"/>
  <c r="V301" i="5" l="1"/>
  <c r="U301" i="5"/>
  <c r="Y301" i="5"/>
  <c r="W301" i="5" l="1"/>
  <c r="P302" i="5"/>
  <c r="R302" i="5" l="1"/>
  <c r="S302" i="5" s="1"/>
  <c r="T302" i="5" l="1"/>
  <c r="V302" i="5"/>
  <c r="W302" i="5" s="1"/>
  <c r="U302" i="5"/>
  <c r="Y302" i="5"/>
  <c r="P303" i="5"/>
  <c r="R303" i="5" l="1"/>
  <c r="S303" i="5" s="1"/>
  <c r="T303" i="5"/>
  <c r="U303" i="5" l="1"/>
  <c r="Y303" i="5"/>
  <c r="V303" i="5"/>
  <c r="W303" i="5" s="1"/>
  <c r="P304" i="5"/>
  <c r="R304" i="5" l="1"/>
  <c r="S304" i="5" s="1"/>
  <c r="T304" i="5"/>
  <c r="V304" i="5" l="1"/>
  <c r="W304" i="5" s="1"/>
  <c r="U304" i="5"/>
  <c r="Y304" i="5"/>
  <c r="P305" i="5"/>
  <c r="R305" i="5" l="1"/>
  <c r="S305" i="5" s="1"/>
  <c r="T305" i="5"/>
  <c r="V305" i="5" l="1"/>
  <c r="W305" i="5" s="1"/>
  <c r="U305" i="5"/>
  <c r="Y305" i="5"/>
  <c r="P306" i="5"/>
  <c r="R306" i="5" l="1"/>
  <c r="S306" i="5" s="1"/>
  <c r="T306" i="5"/>
  <c r="Y306" i="5" l="1"/>
  <c r="V306" i="5"/>
  <c r="W306" i="5" s="1"/>
  <c r="P307" i="5"/>
  <c r="U306" i="5"/>
  <c r="R307" i="5" l="1"/>
  <c r="S307" i="5" s="1"/>
  <c r="T307" i="5" l="1"/>
  <c r="V307" i="5"/>
  <c r="W307" i="5" s="1"/>
  <c r="U307" i="5"/>
  <c r="P308" i="5"/>
  <c r="Y307" i="5"/>
  <c r="R308" i="5" l="1"/>
  <c r="S308" i="5" s="1"/>
  <c r="T308" i="5" l="1"/>
  <c r="Y308" i="5"/>
  <c r="V308" i="5"/>
  <c r="W308" i="5" s="1"/>
  <c r="U308" i="5"/>
  <c r="P309" i="5"/>
  <c r="R309" i="5" l="1"/>
  <c r="S309" i="5" s="1"/>
  <c r="T309" i="5" l="1"/>
  <c r="V309" i="5"/>
  <c r="W309" i="5" s="1"/>
  <c r="Y309" i="5"/>
  <c r="U309" i="5"/>
  <c r="P310" i="5"/>
  <c r="R310" i="5" l="1"/>
  <c r="S310" i="5" s="1"/>
  <c r="T310" i="5"/>
  <c r="Y310" i="5" l="1"/>
  <c r="V310" i="5"/>
  <c r="U310" i="5"/>
  <c r="W310" i="5" l="1"/>
  <c r="P311" i="5"/>
  <c r="R311" i="5" l="1"/>
  <c r="S311" i="5" s="1"/>
  <c r="T311" i="5" l="1"/>
  <c r="U311" i="5" s="1"/>
  <c r="P312" i="5" l="1"/>
  <c r="V311" i="5"/>
  <c r="W311" i="5" s="1"/>
  <c r="Y311" i="5"/>
  <c r="R312" i="5"/>
  <c r="S312" i="5" s="1"/>
  <c r="T312" i="5" l="1"/>
  <c r="U312" i="5" s="1"/>
  <c r="V312" i="5"/>
  <c r="W312" i="5" s="1"/>
  <c r="Y312" i="5"/>
  <c r="P313" i="5" l="1"/>
  <c r="R313" i="5" s="1"/>
  <c r="S313" i="5" s="1"/>
  <c r="T313" i="5" l="1"/>
  <c r="V313" i="5"/>
  <c r="U313" i="5"/>
  <c r="Y313" i="5"/>
  <c r="W313" i="5" l="1"/>
  <c r="P314" i="5"/>
  <c r="R314" i="5" l="1"/>
  <c r="S314" i="5" s="1"/>
  <c r="T314" i="5"/>
  <c r="Y314" i="5" l="1"/>
  <c r="U314" i="5"/>
  <c r="V314" i="5"/>
  <c r="W314" i="5" s="1"/>
  <c r="P315" i="5"/>
  <c r="R315" i="5" l="1"/>
  <c r="S315" i="5" s="1"/>
  <c r="T315" i="5"/>
  <c r="V315" i="5" l="1"/>
  <c r="W315" i="5" s="1"/>
  <c r="P316" i="5"/>
  <c r="R316" i="5" s="1"/>
  <c r="S316" i="5" s="1"/>
  <c r="Y315" i="5"/>
  <c r="U315" i="5"/>
  <c r="T316" i="5" l="1"/>
  <c r="Y316" i="5"/>
  <c r="V316" i="5"/>
  <c r="W316" i="5" s="1"/>
  <c r="U316" i="5"/>
  <c r="P317" i="5" l="1"/>
  <c r="R317" i="5" l="1"/>
  <c r="S317" i="5" s="1"/>
  <c r="T317" i="5" l="1"/>
  <c r="U317" i="5" s="1"/>
  <c r="Y317" i="5" l="1"/>
  <c r="V317" i="5"/>
  <c r="W317" i="5" s="1"/>
  <c r="P318" i="5" l="1"/>
  <c r="R318" i="5" s="1"/>
  <c r="S318" i="5" s="1"/>
  <c r="T318" i="5"/>
  <c r="V318" i="5" s="1"/>
  <c r="W318" i="5" s="1"/>
  <c r="U318" i="5"/>
  <c r="P319" i="5" l="1"/>
  <c r="R319" i="5" s="1"/>
  <c r="S319" i="5" s="1"/>
  <c r="Y318" i="5"/>
  <c r="T319" i="5" l="1"/>
  <c r="Y319" i="5"/>
  <c r="U319" i="5"/>
  <c r="V319" i="5"/>
  <c r="W319" i="5" s="1"/>
  <c r="P320" i="5" l="1"/>
  <c r="R320" i="5" l="1"/>
  <c r="S320" i="5" s="1"/>
  <c r="T320" i="5"/>
  <c r="V320" i="5" l="1"/>
  <c r="W320" i="5" s="1"/>
  <c r="Y320" i="5"/>
  <c r="U320" i="5"/>
  <c r="P321" i="5" l="1"/>
  <c r="R321" i="5"/>
  <c r="S321" i="5" s="1"/>
  <c r="T321" i="5" l="1"/>
  <c r="Y321" i="5"/>
  <c r="V321" i="5"/>
  <c r="W321" i="5" s="1"/>
  <c r="U321" i="5"/>
  <c r="P322" i="5" l="1"/>
  <c r="R322" i="5"/>
  <c r="S322" i="5" s="1"/>
  <c r="T322" i="5" l="1"/>
  <c r="Y322" i="5"/>
  <c r="V322" i="5"/>
  <c r="W322" i="5" s="1"/>
  <c r="U322" i="5"/>
  <c r="P323" i="5" l="1"/>
  <c r="R323" i="5"/>
  <c r="S323" i="5" s="1"/>
  <c r="T323" i="5" l="1"/>
  <c r="Y323" i="5"/>
  <c r="U323" i="5"/>
  <c r="V323" i="5"/>
  <c r="W323" i="5" s="1"/>
  <c r="P324" i="5" l="1"/>
  <c r="R324" i="5" s="1"/>
  <c r="S324" i="5" s="1"/>
  <c r="T324" i="5" l="1"/>
  <c r="V324" i="5"/>
  <c r="W324" i="5" s="1"/>
  <c r="U324" i="5"/>
  <c r="Y324" i="5"/>
  <c r="P325" i="5"/>
  <c r="R325" i="5" l="1"/>
  <c r="S325" i="5" s="1"/>
  <c r="T325" i="5" l="1"/>
  <c r="Y325" i="5"/>
  <c r="U325" i="5"/>
  <c r="V325" i="5"/>
  <c r="W325" i="5" s="1"/>
  <c r="P326" i="5" l="1"/>
  <c r="R326" i="5"/>
  <c r="S326" i="5" s="1"/>
  <c r="T326" i="5" l="1"/>
  <c r="V326" i="5"/>
  <c r="W326" i="5" s="1"/>
  <c r="U326" i="5"/>
  <c r="Y326" i="5"/>
  <c r="P327" i="5" l="1"/>
  <c r="R327" i="5"/>
  <c r="S327" i="5" s="1"/>
  <c r="T327" i="5" l="1"/>
  <c r="Y327" i="5"/>
  <c r="U327" i="5"/>
  <c r="V327" i="5"/>
  <c r="W327" i="5" s="1"/>
  <c r="P328" i="5" l="1"/>
  <c r="R328" i="5"/>
  <c r="S328" i="5" s="1"/>
  <c r="T328" i="5" l="1"/>
  <c r="U328" i="5"/>
  <c r="Y328" i="5"/>
  <c r="V328" i="5"/>
  <c r="W328" i="5" s="1"/>
  <c r="P329" i="5" l="1"/>
  <c r="R329" i="5"/>
  <c r="S329" i="5" s="1"/>
  <c r="T329" i="5" l="1"/>
  <c r="V329" i="5"/>
  <c r="W329" i="5" s="1"/>
  <c r="Y329" i="5"/>
  <c r="U329" i="5"/>
  <c r="P330" i="5"/>
  <c r="R330" i="5" l="1"/>
  <c r="S330" i="5" s="1"/>
  <c r="T330" i="5" l="1"/>
  <c r="U330" i="5"/>
  <c r="V330" i="5"/>
  <c r="W330" i="5" s="1"/>
  <c r="Y330" i="5"/>
  <c r="P331" i="5" l="1"/>
  <c r="R331" i="5"/>
  <c r="S331" i="5" s="1"/>
  <c r="T331" i="5" l="1"/>
  <c r="U331" i="5"/>
  <c r="Y331" i="5"/>
  <c r="V331" i="5"/>
  <c r="W331" i="5" s="1"/>
  <c r="P332" i="5" l="1"/>
  <c r="R332" i="5"/>
  <c r="S332" i="5" s="1"/>
  <c r="T332" i="5"/>
  <c r="U332" i="5" l="1"/>
  <c r="V332" i="5"/>
  <c r="W332" i="5" s="1"/>
  <c r="Y332" i="5"/>
  <c r="P333" i="5" l="1"/>
  <c r="R333" i="5"/>
  <c r="S333" i="5" s="1"/>
  <c r="T333" i="5" l="1"/>
  <c r="V333" i="5" s="1"/>
  <c r="Y333" i="5"/>
  <c r="U333" i="5"/>
  <c r="W333" i="5" l="1"/>
  <c r="P334" i="5"/>
  <c r="R334" i="5" s="1"/>
  <c r="S334" i="5" s="1"/>
  <c r="T334" i="5" l="1"/>
  <c r="Y334" i="5"/>
  <c r="U334" i="5"/>
  <c r="V334" i="5"/>
  <c r="W334" i="5" s="1"/>
  <c r="P335" i="5" l="1"/>
  <c r="R335" i="5"/>
  <c r="S335" i="5" s="1"/>
  <c r="T335" i="5"/>
  <c r="U335" i="5" l="1"/>
  <c r="V335" i="5"/>
  <c r="W335" i="5" s="1"/>
  <c r="Y335" i="5"/>
  <c r="P336" i="5" l="1"/>
  <c r="R336" i="5" l="1"/>
  <c r="S336" i="5" s="1"/>
  <c r="T336" i="5"/>
  <c r="V336" i="5" l="1"/>
  <c r="W336" i="5" s="1"/>
  <c r="U336" i="5"/>
  <c r="Y336" i="5"/>
  <c r="P337" i="5" l="1"/>
  <c r="R337" i="5"/>
  <c r="S337" i="5" s="1"/>
  <c r="T337" i="5" l="1"/>
  <c r="Y337" i="5" s="1"/>
  <c r="V337" i="5"/>
  <c r="W337" i="5" s="1"/>
  <c r="U337" i="5"/>
  <c r="P338" i="5" l="1"/>
  <c r="R338" i="5"/>
  <c r="S338" i="5" s="1"/>
  <c r="T338" i="5" l="1"/>
  <c r="V338" i="5"/>
  <c r="W338" i="5" s="1"/>
  <c r="U338" i="5"/>
  <c r="Y338" i="5"/>
  <c r="P339" i="5"/>
  <c r="R339" i="5" s="1"/>
  <c r="S339" i="5" s="1"/>
  <c r="T339" i="5" l="1"/>
  <c r="U339" i="5"/>
  <c r="V339" i="5"/>
  <c r="W339" i="5" s="1"/>
  <c r="Y339" i="5"/>
  <c r="P340" i="5" l="1"/>
  <c r="R340" i="5" l="1"/>
  <c r="S340" i="5" s="1"/>
  <c r="T340" i="5" l="1"/>
  <c r="Y340" i="5" l="1"/>
  <c r="U340" i="5"/>
  <c r="V340" i="5"/>
  <c r="W340" i="5" s="1"/>
  <c r="P341" i="5" l="1"/>
  <c r="R341" i="5" s="1"/>
  <c r="S341" i="5" s="1"/>
  <c r="T341" i="5" l="1"/>
  <c r="Y341" i="5" l="1"/>
  <c r="V341" i="5"/>
  <c r="W341" i="5" s="1"/>
  <c r="U341" i="5"/>
  <c r="P342" i="5" l="1"/>
  <c r="R342" i="5"/>
  <c r="S342" i="5" s="1"/>
  <c r="T342" i="5" l="1"/>
  <c r="V342" i="5" s="1"/>
  <c r="U342" i="5"/>
  <c r="Y342" i="5" l="1"/>
  <c r="W342" i="5"/>
  <c r="P343" i="5"/>
  <c r="R343" i="5" s="1"/>
  <c r="S343" i="5" s="1"/>
  <c r="T343" i="5" l="1"/>
  <c r="Y343" i="5" s="1"/>
  <c r="V343" i="5"/>
  <c r="W343" i="5" s="1"/>
  <c r="U343" i="5"/>
  <c r="P344" i="5" l="1"/>
  <c r="R344" i="5"/>
  <c r="S344" i="5" s="1"/>
  <c r="T344" i="5" l="1"/>
  <c r="Y344" i="5"/>
  <c r="V344" i="5"/>
  <c r="W344" i="5" s="1"/>
  <c r="U344" i="5"/>
  <c r="P345" i="5" l="1"/>
  <c r="R345" i="5"/>
  <c r="S345" i="5" s="1"/>
  <c r="T345" i="5" l="1"/>
  <c r="V345" i="5"/>
  <c r="W345" i="5" s="1"/>
  <c r="U345" i="5"/>
  <c r="Y345" i="5"/>
  <c r="P346" i="5" l="1"/>
  <c r="R346" i="5" s="1"/>
  <c r="S346" i="5" s="1"/>
  <c r="T346" i="5" l="1"/>
  <c r="Y346" i="5"/>
  <c r="V346" i="5"/>
  <c r="U346" i="5"/>
  <c r="W346" i="5" l="1"/>
  <c r="P347" i="5"/>
  <c r="R347" i="5" s="1"/>
  <c r="S347" i="5" s="1"/>
  <c r="T347" i="5" l="1"/>
  <c r="Y347" i="5" l="1"/>
  <c r="U347" i="5"/>
  <c r="V347" i="5"/>
  <c r="W347" i="5" l="1"/>
  <c r="P348" i="5"/>
  <c r="R348" i="5" l="1"/>
  <c r="S348" i="5" s="1"/>
  <c r="T348" i="5" l="1"/>
  <c r="Y348" i="5" l="1"/>
  <c r="U348" i="5"/>
  <c r="V348" i="5"/>
  <c r="W348" i="5" s="1"/>
  <c r="P349" i="5" l="1"/>
  <c r="R349" i="5" s="1"/>
  <c r="S349" i="5" s="1"/>
  <c r="T349" i="5" l="1"/>
  <c r="V349" i="5" s="1"/>
  <c r="W349" i="5" s="1"/>
  <c r="U349" i="5" l="1"/>
  <c r="Y349" i="5"/>
  <c r="P350" i="5"/>
  <c r="R350" i="5"/>
  <c r="S350" i="5" s="1"/>
  <c r="T350" i="5" l="1"/>
  <c r="U350" i="5" s="1"/>
  <c r="Y350" i="5"/>
  <c r="V350" i="5" l="1"/>
  <c r="W350" i="5" s="1"/>
  <c r="P351" i="5" l="1"/>
  <c r="R351" i="5" l="1"/>
  <c r="S351" i="5" s="1"/>
  <c r="T351" i="5" l="1"/>
  <c r="U351" i="5" l="1"/>
  <c r="V351" i="5"/>
  <c r="W351" i="5" s="1"/>
  <c r="Y351" i="5"/>
  <c r="P352" i="5" l="1"/>
  <c r="R352" i="5"/>
  <c r="S352" i="5" s="1"/>
  <c r="T352" i="5" l="1"/>
  <c r="Y352" i="5" s="1"/>
  <c r="U352" i="5" l="1"/>
  <c r="V352" i="5"/>
  <c r="W352" i="5" s="1"/>
  <c r="P353" i="5" l="1"/>
  <c r="R353" i="5" s="1"/>
  <c r="S353" i="5" s="1"/>
  <c r="T353" i="5" l="1"/>
  <c r="Y353" i="5" l="1"/>
  <c r="V353" i="5"/>
  <c r="U353" i="5"/>
  <c r="W353" i="5" l="1"/>
  <c r="P354" i="5"/>
  <c r="R354" i="5" s="1"/>
  <c r="S354" i="5" s="1"/>
  <c r="T354" i="5" l="1"/>
  <c r="Y354" i="5" l="1"/>
  <c r="V354" i="5"/>
  <c r="W354" i="5" s="1"/>
  <c r="U354" i="5"/>
  <c r="P355" i="5"/>
  <c r="R355" i="5" s="1"/>
  <c r="S355" i="5" s="1"/>
  <c r="T355" i="5" l="1"/>
  <c r="Y355" i="5" s="1"/>
  <c r="U355" i="5" l="1"/>
  <c r="V355" i="5"/>
  <c r="W355" i="5" s="1"/>
  <c r="P356" i="5" l="1"/>
  <c r="R356" i="5" s="1"/>
  <c r="S356" i="5" s="1"/>
  <c r="T356" i="5" l="1"/>
  <c r="U356" i="5" l="1"/>
  <c r="Y356" i="5"/>
  <c r="V356" i="5"/>
  <c r="P357" i="5" l="1"/>
  <c r="R357" i="5" s="1"/>
  <c r="S357" i="5" s="1"/>
  <c r="W356" i="5"/>
  <c r="T357" i="5" l="1"/>
  <c r="V357" i="5"/>
  <c r="W357" i="5" s="1"/>
  <c r="P358" i="5" l="1"/>
  <c r="R358" i="5" s="1"/>
  <c r="Y357" i="5"/>
  <c r="U357" i="5"/>
  <c r="S358" i="5"/>
  <c r="T358" i="5"/>
  <c r="U358" i="5" s="1"/>
  <c r="Y358" i="5"/>
  <c r="V358" i="5" l="1"/>
  <c r="W358" i="5" s="1"/>
  <c r="P359" i="5"/>
  <c r="R359" i="5" s="1"/>
  <c r="S359" i="5" s="1"/>
  <c r="T359" i="5" l="1"/>
  <c r="V359" i="5"/>
  <c r="W359" i="5" s="1"/>
  <c r="Y359" i="5" l="1"/>
  <c r="U359" i="5"/>
  <c r="P360" i="5"/>
  <c r="R360" i="5" s="1"/>
  <c r="S360" i="5" s="1"/>
  <c r="T360" i="5" l="1"/>
  <c r="V360" i="5" s="1"/>
  <c r="W360" i="5" s="1"/>
  <c r="U360" i="5"/>
  <c r="Y360" i="5"/>
  <c r="P361" i="5"/>
  <c r="R361" i="5" s="1"/>
  <c r="S361" i="5" s="1"/>
  <c r="T361" i="5" l="1"/>
  <c r="Y361" i="5" s="1"/>
  <c r="V361" i="5"/>
  <c r="W361" i="5" s="1"/>
  <c r="U361" i="5" l="1"/>
  <c r="P362" i="5"/>
  <c r="R362" i="5" s="1"/>
  <c r="S362" i="5" s="1"/>
  <c r="T362" i="5" l="1"/>
  <c r="U362" i="5" s="1"/>
  <c r="Y362" i="5"/>
  <c r="V362" i="5"/>
  <c r="W362" i="5" s="1"/>
  <c r="P363" i="5" l="1"/>
  <c r="R363" i="5" l="1"/>
  <c r="S363" i="5" s="1"/>
  <c r="T363" i="5" l="1"/>
  <c r="Y363" i="5" s="1"/>
  <c r="V363" i="5" l="1"/>
  <c r="W363" i="5" s="1"/>
  <c r="U363" i="5"/>
  <c r="P364" i="5" l="1"/>
  <c r="R364" i="5" s="1"/>
  <c r="S364" i="5" s="1"/>
  <c r="T364" i="5" l="1"/>
  <c r="U364" i="5" s="1"/>
  <c r="V364" i="5" l="1"/>
  <c r="W364" i="5" s="1"/>
  <c r="Y364" i="5"/>
  <c r="P365" i="5" l="1"/>
  <c r="R365" i="5" s="1"/>
  <c r="S365" i="5" s="1"/>
  <c r="T365" i="5" l="1"/>
  <c r="V365" i="5" s="1"/>
  <c r="W365" i="5" s="1"/>
  <c r="Y365" i="5" l="1"/>
  <c r="U365" i="5"/>
  <c r="P366" i="5"/>
  <c r="R366" i="5" s="1"/>
  <c r="S366" i="5" s="1"/>
  <c r="T366" i="5" l="1"/>
  <c r="V366" i="5" s="1"/>
  <c r="W366" i="5" s="1"/>
  <c r="U366" i="5" l="1"/>
  <c r="Y366" i="5"/>
  <c r="P367" i="5"/>
  <c r="R367" i="5" s="1"/>
  <c r="S367" i="5" s="1"/>
  <c r="T367" i="5" l="1"/>
  <c r="U367" i="5" s="1"/>
  <c r="Y367" i="5" l="1"/>
  <c r="V367" i="5"/>
  <c r="W367" i="5" s="1"/>
  <c r="P368" i="5" l="1"/>
  <c r="R368" i="5" s="1"/>
  <c r="S368" i="5" s="1"/>
  <c r="T368" i="5" l="1"/>
  <c r="V368" i="5" s="1"/>
  <c r="W368" i="5" s="1"/>
  <c r="U368" i="5"/>
  <c r="Y368" i="5" l="1"/>
  <c r="P369" i="5"/>
  <c r="R369" i="5" s="1"/>
  <c r="S369" i="5" s="1"/>
  <c r="T369" i="5" l="1"/>
  <c r="Y369" i="5" s="1"/>
  <c r="U369" i="5" l="1"/>
  <c r="V369" i="5"/>
  <c r="W369" i="5" s="1"/>
  <c r="P370" i="5" l="1"/>
  <c r="R370" i="5" s="1"/>
  <c r="S370" i="5" s="1"/>
  <c r="T370" i="5" l="1"/>
  <c r="V370" i="5" l="1"/>
  <c r="W370" i="5" s="1"/>
  <c r="Y370" i="5"/>
  <c r="U370" i="5"/>
  <c r="P371" i="5" l="1"/>
  <c r="R371" i="5" s="1"/>
  <c r="S371" i="5" s="1"/>
  <c r="T371" i="5" l="1"/>
  <c r="Y371" i="5" s="1"/>
  <c r="V371" i="5" l="1"/>
  <c r="W371" i="5" s="1"/>
  <c r="U371" i="5"/>
  <c r="P372" i="5" l="1"/>
  <c r="R372" i="5" s="1"/>
  <c r="T372" i="5" s="1"/>
  <c r="S372" i="5" l="1"/>
  <c r="V372" i="5"/>
  <c r="Y372" i="5"/>
  <c r="U372" i="5"/>
  <c r="P373" i="5" l="1"/>
  <c r="W372" i="5"/>
  <c r="P374" i="5" l="1"/>
  <c r="R373" i="5"/>
  <c r="T373" i="5" l="1"/>
  <c r="S373" i="5"/>
  <c r="S374" i="5" s="1"/>
  <c r="L16" i="5" s="1"/>
  <c r="Q17" i="3" s="1"/>
  <c r="R374" i="5"/>
  <c r="T374" i="5" l="1"/>
  <c r="Y373" i="5"/>
  <c r="U373" i="5"/>
  <c r="V373" i="5"/>
  <c r="W373" i="5" l="1"/>
  <c r="V374" i="5"/>
  <c r="U374" i="5"/>
  <c r="L10" i="5"/>
  <c r="Q11" i="3" s="1"/>
  <c r="L12" i="5" l="1"/>
  <c r="W374" i="5"/>
  <c r="Q13" i="3" l="1"/>
  <c r="L14" i="5"/>
  <c r="Q15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8E08B4-1446-431A-ADB1-2DB873003694}" keepAlive="1" name="Query - Delta Distributors Data" description="Connection to the 'Delta Distributors Data' query in the workbook." type="5" refreshedVersion="8" background="1" saveData="1">
    <dbPr connection="Provider=Microsoft.Mashup.OleDb.1;Data Source=$Workbook$;Location=&quot;Delta Distributors Data&quot;;Extended Properties=&quot;&quot;" command="SELECT * FROM [Delta Distributors Data]"/>
  </connection>
</connections>
</file>

<file path=xl/sharedStrings.xml><?xml version="1.0" encoding="utf-8"?>
<sst xmlns="http://schemas.openxmlformats.org/spreadsheetml/2006/main" count="51" uniqueCount="42">
  <si>
    <t>Day</t>
  </si>
  <si>
    <t>20Y7 Demand</t>
  </si>
  <si>
    <t>20Y8 Demand</t>
  </si>
  <si>
    <t>20Y9 Demand</t>
  </si>
  <si>
    <r>
      <rPr>
        <b/>
        <sz val="24"/>
        <color theme="1"/>
        <rFont val="Aptos Narrow"/>
        <family val="2"/>
        <scheme val="minor"/>
      </rPr>
      <t>Operations Strategy Inventory Policy Model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20"/>
        <color theme="1"/>
        <rFont val="Aptos Narrow"/>
        <family val="2"/>
        <scheme val="minor"/>
      </rPr>
      <t xml:space="preserve">Manager's Page
</t>
    </r>
    <r>
      <rPr>
        <b/>
        <sz val="12"/>
        <color theme="1"/>
        <rFont val="Aptos Narrow"/>
        <family val="2"/>
        <scheme val="minor"/>
      </rPr>
      <t>Developed By: Robert Mepham</t>
    </r>
  </si>
  <si>
    <r>
      <rPr>
        <b/>
        <sz val="24"/>
        <color theme="1"/>
        <rFont val="Aptos Narrow"/>
        <family val="2"/>
        <scheme val="minor"/>
      </rPr>
      <t>Operations Strategy Inventory Policy Model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20"/>
        <color theme="1"/>
        <rFont val="Aptos Narrow"/>
        <family val="2"/>
        <scheme val="minor"/>
      </rPr>
      <t xml:space="preserve">Documentation Sheet
</t>
    </r>
    <r>
      <rPr>
        <b/>
        <sz val="12"/>
        <color theme="1"/>
        <rFont val="Aptos Narrow"/>
        <family val="2"/>
        <scheme val="minor"/>
      </rPr>
      <t>Developed By: Robert Mepham</t>
    </r>
  </si>
  <si>
    <r>
      <rPr>
        <b/>
        <sz val="24"/>
        <color theme="1"/>
        <rFont val="Aptos Narrow"/>
        <family val="2"/>
        <scheme val="minor"/>
      </rPr>
      <t>Operations Strategy Inventory Policy Model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20"/>
        <color theme="1"/>
        <rFont val="Aptos Narrow"/>
        <family val="2"/>
        <scheme val="minor"/>
      </rPr>
      <t xml:space="preserve">Calculations Page
</t>
    </r>
    <r>
      <rPr>
        <b/>
        <sz val="12"/>
        <color theme="1"/>
        <rFont val="Aptos Narrow"/>
        <family val="2"/>
        <scheme val="minor"/>
      </rPr>
      <t>Developed By: Robert Mepham</t>
    </r>
  </si>
  <si>
    <r>
      <rPr>
        <b/>
        <sz val="24"/>
        <color theme="1"/>
        <rFont val="Aptos Narrow"/>
        <family val="2"/>
        <scheme val="minor"/>
      </rPr>
      <t>Operations Strategy Inventory Policy Model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20"/>
        <color theme="1"/>
        <rFont val="Aptos Narrow"/>
        <family val="2"/>
        <scheme val="minor"/>
      </rPr>
      <t xml:space="preserve">Constants Page
</t>
    </r>
    <r>
      <rPr>
        <b/>
        <sz val="12"/>
        <color theme="1"/>
        <rFont val="Aptos Narrow"/>
        <family val="2"/>
        <scheme val="minor"/>
      </rPr>
      <t>Developed By: Robert Mepham</t>
    </r>
  </si>
  <si>
    <t>Re-Order Point</t>
  </si>
  <si>
    <t>Re-Order Qty</t>
  </si>
  <si>
    <t>Graph Controls</t>
  </si>
  <si>
    <t>Demand Line</t>
  </si>
  <si>
    <t>Ending Inv Line</t>
  </si>
  <si>
    <t>Order Qty Line</t>
  </si>
  <si>
    <t>Model Inputs</t>
  </si>
  <si>
    <t>Annual Results</t>
  </si>
  <si>
    <t>Demand</t>
  </si>
  <si>
    <t>Manual Input Area For Demand</t>
  </si>
  <si>
    <t>Total Inventory Holding Cost</t>
  </si>
  <si>
    <t>Total Inventory Ordering Cost</t>
  </si>
  <si>
    <t>Total Cost</t>
  </si>
  <si>
    <t>% of Missed Demand</t>
  </si>
  <si>
    <t>Output Calcs</t>
  </si>
  <si>
    <t>Product Unit Value</t>
  </si>
  <si>
    <t>Holding Cost % Of Unit Value</t>
  </si>
  <si>
    <t>Day 1 Beginning Inventory</t>
  </si>
  <si>
    <t>Quantity Discount Schedule</t>
  </si>
  <si>
    <t>Order Qty Minimum</t>
  </si>
  <si>
    <t>Order Qty Maximum</t>
  </si>
  <si>
    <t>Order Costs</t>
  </si>
  <si>
    <t>Or More</t>
  </si>
  <si>
    <t>Units Sold</t>
  </si>
  <si>
    <t>Unit Sales Missed</t>
  </si>
  <si>
    <t>Ending Inventory</t>
  </si>
  <si>
    <t>Holding Cost</t>
  </si>
  <si>
    <t>Amount Ordered</t>
  </si>
  <si>
    <t>Order Cost</t>
  </si>
  <si>
    <t>Starting Inventory</t>
  </si>
  <si>
    <t>Totals</t>
  </si>
  <si>
    <t>Re-Order Line</t>
  </si>
  <si>
    <t>Graph Title:</t>
  </si>
  <si>
    <t>Holding Cost Per Unit-Day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</si>
</sst>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_(* #,##0_);_(* \(#,##0\);_(* &quot;-&quot;??_);_(@_)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4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5" xfId="0" applyFill="1" applyBorder="1" applyAlignment="1">
      <alignment horizontal="right" indent="2"/>
    </xf>
    <xf numFmtId="0" fontId="0" fillId="2" borderId="0" xfId="0" applyFill="1" applyAlignment="1">
      <alignment horizontal="right" indent="2"/>
    </xf>
    <xf numFmtId="0" fontId="2" fillId="2" borderId="0" xfId="0" applyFont="1" applyFill="1" applyAlignment="1">
      <alignment horizontal="center"/>
    </xf>
    <xf numFmtId="44" fontId="0" fillId="0" borderId="4" xfId="2" applyFont="1" applyBorder="1"/>
    <xf numFmtId="44" fontId="0" fillId="0" borderId="6" xfId="2" applyFont="1" applyBorder="1"/>
    <xf numFmtId="44" fontId="0" fillId="0" borderId="9" xfId="2" applyFont="1" applyBorder="1"/>
    <xf numFmtId="0" fontId="2" fillId="0" borderId="12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3" fontId="0" fillId="0" borderId="0" xfId="1" applyNumberFormat="1" applyFont="1" applyBorder="1" applyAlignment="1">
      <alignment horizontal="center" vertical="center"/>
    </xf>
    <xf numFmtId="44" fontId="0" fillId="0" borderId="4" xfId="2" applyFont="1" applyBorder="1" applyAlignment="1">
      <alignment horizontal="center"/>
    </xf>
    <xf numFmtId="44" fontId="0" fillId="0" borderId="0" xfId="2" applyFont="1" applyBorder="1" applyAlignment="1">
      <alignment horizontal="center"/>
    </xf>
    <xf numFmtId="44" fontId="0" fillId="0" borderId="3" xfId="2" applyFont="1" applyBorder="1" applyAlignment="1">
      <alignment horizontal="center"/>
    </xf>
    <xf numFmtId="3" fontId="0" fillId="0" borderId="3" xfId="1" applyNumberFormat="1" applyFont="1" applyBorder="1" applyAlignment="1">
      <alignment horizontal="center" vertical="center"/>
    </xf>
    <xf numFmtId="44" fontId="0" fillId="0" borderId="6" xfId="2" applyFont="1" applyBorder="1" applyAlignment="1">
      <alignment horizontal="center"/>
    </xf>
    <xf numFmtId="165" fontId="0" fillId="0" borderId="12" xfId="1" applyNumberFormat="1" applyFont="1" applyFill="1" applyBorder="1" applyAlignment="1">
      <alignment vertical="center"/>
    </xf>
    <xf numFmtId="44" fontId="0" fillId="0" borderId="12" xfId="2" applyFont="1" applyFill="1" applyBorder="1" applyAlignment="1">
      <alignment horizontal="center"/>
    </xf>
    <xf numFmtId="44" fontId="0" fillId="0" borderId="11" xfId="2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right" indent="2"/>
    </xf>
    <xf numFmtId="44" fontId="2" fillId="3" borderId="10" xfId="0" applyNumberFormat="1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0" fontId="2" fillId="3" borderId="10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8" fillId="0" borderId="2" xfId="0" applyFont="1" applyBorder="1" applyAlignment="1">
      <alignment horizontal="right" vertical="center" indent="1"/>
    </xf>
    <xf numFmtId="0" fontId="8" fillId="0" borderId="3" xfId="0" applyFont="1" applyBorder="1" applyAlignment="1">
      <alignment horizontal="right" vertical="center" indent="1"/>
    </xf>
    <xf numFmtId="0" fontId="8" fillId="0" borderId="4" xfId="0" applyFont="1" applyBorder="1" applyAlignment="1">
      <alignment horizontal="right" vertical="center" indent="1"/>
    </xf>
    <xf numFmtId="0" fontId="8" fillId="0" borderId="7" xfId="0" applyFont="1" applyBorder="1" applyAlignment="1">
      <alignment horizontal="right" vertical="center" indent="1"/>
    </xf>
    <xf numFmtId="0" fontId="8" fillId="0" borderId="8" xfId="0" applyFont="1" applyBorder="1" applyAlignment="1">
      <alignment horizontal="right" vertical="center" indent="1"/>
    </xf>
    <xf numFmtId="0" fontId="8" fillId="0" borderId="9" xfId="0" applyFont="1" applyBorder="1" applyAlignment="1">
      <alignment horizontal="right" vertical="center" indent="1"/>
    </xf>
    <xf numFmtId="10" fontId="6" fillId="0" borderId="2" xfId="3" applyNumberFormat="1" applyFont="1" applyBorder="1" applyAlignment="1">
      <alignment horizontal="center" vertical="center"/>
    </xf>
    <xf numFmtId="10" fontId="6" fillId="0" borderId="4" xfId="3" applyNumberFormat="1" applyFont="1" applyBorder="1" applyAlignment="1">
      <alignment horizontal="center" vertical="center"/>
    </xf>
    <xf numFmtId="10" fontId="6" fillId="0" borderId="7" xfId="3" applyNumberFormat="1" applyFont="1" applyBorder="1" applyAlignment="1">
      <alignment horizontal="center" vertical="center"/>
    </xf>
    <xf numFmtId="10" fontId="6" fillId="0" borderId="9" xfId="3" applyNumberFormat="1" applyFont="1" applyBorder="1" applyAlignment="1">
      <alignment horizontal="center" vertical="center"/>
    </xf>
    <xf numFmtId="44" fontId="6" fillId="4" borderId="2" xfId="2" applyFont="1" applyFill="1" applyBorder="1" applyAlignment="1">
      <alignment horizontal="center" vertical="center"/>
    </xf>
    <xf numFmtId="44" fontId="6" fillId="4" borderId="4" xfId="2" applyFont="1" applyFill="1" applyBorder="1" applyAlignment="1">
      <alignment horizontal="center" vertical="center"/>
    </xf>
    <xf numFmtId="44" fontId="6" fillId="4" borderId="7" xfId="2" applyFont="1" applyFill="1" applyBorder="1" applyAlignment="1">
      <alignment horizontal="center" vertical="center"/>
    </xf>
    <xf numFmtId="44" fontId="6" fillId="4" borderId="9" xfId="2" applyFont="1" applyFill="1" applyBorder="1" applyAlignment="1">
      <alignment horizontal="center" vertical="center"/>
    </xf>
    <xf numFmtId="164" fontId="6" fillId="0" borderId="2" xfId="1" applyNumberFormat="1" applyFont="1" applyBorder="1" applyAlignment="1">
      <alignment horizontal="center" vertical="center"/>
    </xf>
    <xf numFmtId="164" fontId="6" fillId="0" borderId="4" xfId="1" applyNumberFormat="1" applyFont="1" applyBorder="1" applyAlignment="1">
      <alignment horizontal="center" vertical="center"/>
    </xf>
    <xf numFmtId="164" fontId="6" fillId="0" borderId="7" xfId="1" applyNumberFormat="1" applyFont="1" applyBorder="1" applyAlignment="1">
      <alignment horizontal="center" vertical="center"/>
    </xf>
    <xf numFmtId="164" fontId="6" fillId="0" borderId="9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6" fillId="0" borderId="2" xfId="2" applyFont="1" applyBorder="1" applyAlignment="1">
      <alignment horizontal="center" vertical="center"/>
    </xf>
    <xf numFmtId="44" fontId="6" fillId="0" borderId="4" xfId="2" applyFont="1" applyBorder="1" applyAlignment="1">
      <alignment horizontal="center" vertical="center"/>
    </xf>
    <xf numFmtId="44" fontId="6" fillId="0" borderId="7" xfId="2" applyFont="1" applyBorder="1" applyAlignment="1">
      <alignment horizontal="center" vertical="center"/>
    </xf>
    <xf numFmtId="44" fontId="6" fillId="0" borderId="9" xfId="2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 indent="1"/>
    </xf>
    <xf numFmtId="0" fontId="0" fillId="0" borderId="11" xfId="0" applyBorder="1" applyAlignment="1">
      <alignment horizontal="right" indent="1"/>
    </xf>
    <xf numFmtId="0" fontId="2" fillId="2" borderId="10" xfId="0" applyFont="1" applyFill="1" applyBorder="1" applyAlignment="1">
      <alignment horizontal="right" indent="2"/>
    </xf>
    <xf numFmtId="44" fontId="0" fillId="2" borderId="12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0" fontId="0" fillId="2" borderId="12" xfId="3" applyNumberFormat="1" applyFont="1" applyFill="1" applyBorder="1" applyAlignment="1">
      <alignment horizontal="center"/>
    </xf>
    <xf numFmtId="10" fontId="0" fillId="2" borderId="11" xfId="3" applyNumberFormat="1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right" indent="1"/>
    </xf>
    <xf numFmtId="0" fontId="0" fillId="0" borderId="4" xfId="0" applyBorder="1" applyAlignment="1">
      <alignment horizontal="right" indent="1"/>
    </xf>
    <xf numFmtId="0" fontId="0" fillId="0" borderId="5" xfId="0" applyBorder="1" applyAlignment="1">
      <alignment horizontal="right" indent="1"/>
    </xf>
    <xf numFmtId="0" fontId="0" fillId="0" borderId="6" xfId="0" applyBorder="1" applyAlignment="1">
      <alignment horizontal="right" indent="1"/>
    </xf>
    <xf numFmtId="0" fontId="0" fillId="0" borderId="7" xfId="0" applyBorder="1" applyAlignment="1">
      <alignment horizontal="right" indent="1"/>
    </xf>
    <xf numFmtId="0" fontId="0" fillId="0" borderId="9" xfId="0" applyBorder="1" applyAlignment="1">
      <alignment horizontal="right" inden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'Calculation Sheet'!$D$18</c:f>
          <c:strCache>
            <c:ptCount val="1"/>
            <c:pt idx="0">
              <c:v>Delta Distributors: Demand &amp; Ending Inventory Trend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'Calculation Sheet'!$Y$8</c:f>
              <c:strCache>
                <c:ptCount val="1"/>
                <c:pt idx="0">
                  <c:v>Ending 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'Calculation Sheet'!$Y$9:$Y$373</c:f>
              <c:numCache>
                <c:formatCode>General</c:formatCode>
                <c:ptCount val="365"/>
                <c:pt idx="0">
                  <c:v>1007</c:v>
                </c:pt>
                <c:pt idx="1">
                  <c:v>467</c:v>
                </c:pt>
                <c:pt idx="2">
                  <c:v>122</c:v>
                </c:pt>
                <c:pt idx="3">
                  <c:v>4566</c:v>
                </c:pt>
                <c:pt idx="4">
                  <c:v>4092</c:v>
                </c:pt>
                <c:pt idx="5">
                  <c:v>3676</c:v>
                </c:pt>
                <c:pt idx="6">
                  <c:v>3381</c:v>
                </c:pt>
                <c:pt idx="7">
                  <c:v>3057</c:v>
                </c:pt>
                <c:pt idx="8">
                  <c:v>2447</c:v>
                </c:pt>
                <c:pt idx="9">
                  <c:v>1899</c:v>
                </c:pt>
                <c:pt idx="10">
                  <c:v>1432</c:v>
                </c:pt>
                <c:pt idx="11">
                  <c:v>703</c:v>
                </c:pt>
                <c:pt idx="12">
                  <c:v>71</c:v>
                </c:pt>
                <c:pt idx="13">
                  <c:v>4529</c:v>
                </c:pt>
                <c:pt idx="14">
                  <c:v>4214</c:v>
                </c:pt>
                <c:pt idx="15">
                  <c:v>3698</c:v>
                </c:pt>
                <c:pt idx="16">
                  <c:v>3426</c:v>
                </c:pt>
                <c:pt idx="17">
                  <c:v>2948</c:v>
                </c:pt>
                <c:pt idx="18">
                  <c:v>2570</c:v>
                </c:pt>
                <c:pt idx="19">
                  <c:v>2228</c:v>
                </c:pt>
                <c:pt idx="20">
                  <c:v>1391</c:v>
                </c:pt>
                <c:pt idx="21">
                  <c:v>1053</c:v>
                </c:pt>
                <c:pt idx="22">
                  <c:v>283</c:v>
                </c:pt>
                <c:pt idx="23">
                  <c:v>0</c:v>
                </c:pt>
                <c:pt idx="24">
                  <c:v>4447</c:v>
                </c:pt>
                <c:pt idx="25">
                  <c:v>3884</c:v>
                </c:pt>
                <c:pt idx="26">
                  <c:v>3435</c:v>
                </c:pt>
                <c:pt idx="27">
                  <c:v>2723</c:v>
                </c:pt>
                <c:pt idx="28">
                  <c:v>2262</c:v>
                </c:pt>
                <c:pt idx="29">
                  <c:v>1751</c:v>
                </c:pt>
                <c:pt idx="30">
                  <c:v>1359</c:v>
                </c:pt>
                <c:pt idx="31">
                  <c:v>725</c:v>
                </c:pt>
                <c:pt idx="32">
                  <c:v>451</c:v>
                </c:pt>
                <c:pt idx="33">
                  <c:v>13</c:v>
                </c:pt>
                <c:pt idx="34">
                  <c:v>4491</c:v>
                </c:pt>
                <c:pt idx="35">
                  <c:v>3816</c:v>
                </c:pt>
                <c:pt idx="36">
                  <c:v>3107</c:v>
                </c:pt>
                <c:pt idx="37">
                  <c:v>2334</c:v>
                </c:pt>
                <c:pt idx="38">
                  <c:v>1817</c:v>
                </c:pt>
                <c:pt idx="39">
                  <c:v>1574</c:v>
                </c:pt>
                <c:pt idx="40">
                  <c:v>1197</c:v>
                </c:pt>
                <c:pt idx="41">
                  <c:v>463</c:v>
                </c:pt>
                <c:pt idx="42">
                  <c:v>75</c:v>
                </c:pt>
                <c:pt idx="43">
                  <c:v>4583</c:v>
                </c:pt>
                <c:pt idx="44">
                  <c:v>4238</c:v>
                </c:pt>
                <c:pt idx="45">
                  <c:v>3762</c:v>
                </c:pt>
                <c:pt idx="46">
                  <c:v>3197</c:v>
                </c:pt>
                <c:pt idx="47">
                  <c:v>2602</c:v>
                </c:pt>
                <c:pt idx="48">
                  <c:v>2017</c:v>
                </c:pt>
                <c:pt idx="49">
                  <c:v>1836</c:v>
                </c:pt>
                <c:pt idx="50">
                  <c:v>1375</c:v>
                </c:pt>
                <c:pt idx="51">
                  <c:v>794</c:v>
                </c:pt>
                <c:pt idx="52">
                  <c:v>308</c:v>
                </c:pt>
                <c:pt idx="53">
                  <c:v>0</c:v>
                </c:pt>
                <c:pt idx="54">
                  <c:v>4221</c:v>
                </c:pt>
                <c:pt idx="55">
                  <c:v>3468</c:v>
                </c:pt>
                <c:pt idx="56">
                  <c:v>2868</c:v>
                </c:pt>
                <c:pt idx="57">
                  <c:v>2384</c:v>
                </c:pt>
                <c:pt idx="58">
                  <c:v>1766</c:v>
                </c:pt>
                <c:pt idx="59">
                  <c:v>994</c:v>
                </c:pt>
                <c:pt idx="60">
                  <c:v>602</c:v>
                </c:pt>
                <c:pt idx="61">
                  <c:v>241</c:v>
                </c:pt>
                <c:pt idx="62">
                  <c:v>0</c:v>
                </c:pt>
                <c:pt idx="63">
                  <c:v>4568</c:v>
                </c:pt>
                <c:pt idx="64">
                  <c:v>4189</c:v>
                </c:pt>
                <c:pt idx="65">
                  <c:v>3635</c:v>
                </c:pt>
                <c:pt idx="66">
                  <c:v>3131</c:v>
                </c:pt>
                <c:pt idx="67">
                  <c:v>2677</c:v>
                </c:pt>
                <c:pt idx="68">
                  <c:v>2058</c:v>
                </c:pt>
                <c:pt idx="69">
                  <c:v>1604</c:v>
                </c:pt>
                <c:pt idx="70">
                  <c:v>1162</c:v>
                </c:pt>
                <c:pt idx="71">
                  <c:v>704</c:v>
                </c:pt>
                <c:pt idx="72">
                  <c:v>154</c:v>
                </c:pt>
                <c:pt idx="73">
                  <c:v>4585</c:v>
                </c:pt>
                <c:pt idx="74">
                  <c:v>3986</c:v>
                </c:pt>
                <c:pt idx="75">
                  <c:v>3404</c:v>
                </c:pt>
                <c:pt idx="76">
                  <c:v>2915</c:v>
                </c:pt>
                <c:pt idx="77">
                  <c:v>2157</c:v>
                </c:pt>
                <c:pt idx="78">
                  <c:v>1680</c:v>
                </c:pt>
                <c:pt idx="79">
                  <c:v>974</c:v>
                </c:pt>
                <c:pt idx="80">
                  <c:v>413</c:v>
                </c:pt>
                <c:pt idx="81">
                  <c:v>0</c:v>
                </c:pt>
                <c:pt idx="82">
                  <c:v>4761</c:v>
                </c:pt>
                <c:pt idx="83">
                  <c:v>4246</c:v>
                </c:pt>
                <c:pt idx="84">
                  <c:v>3614</c:v>
                </c:pt>
                <c:pt idx="85">
                  <c:v>2898</c:v>
                </c:pt>
                <c:pt idx="86">
                  <c:v>2321</c:v>
                </c:pt>
                <c:pt idx="87">
                  <c:v>1838</c:v>
                </c:pt>
                <c:pt idx="88">
                  <c:v>1386</c:v>
                </c:pt>
                <c:pt idx="89">
                  <c:v>878</c:v>
                </c:pt>
                <c:pt idx="90">
                  <c:v>247</c:v>
                </c:pt>
                <c:pt idx="91">
                  <c:v>0</c:v>
                </c:pt>
                <c:pt idx="92">
                  <c:v>4467</c:v>
                </c:pt>
                <c:pt idx="93">
                  <c:v>4122</c:v>
                </c:pt>
                <c:pt idx="94">
                  <c:v>3230</c:v>
                </c:pt>
                <c:pt idx="95">
                  <c:v>2640</c:v>
                </c:pt>
                <c:pt idx="96">
                  <c:v>2069</c:v>
                </c:pt>
                <c:pt idx="97">
                  <c:v>1677</c:v>
                </c:pt>
                <c:pt idx="98">
                  <c:v>1284</c:v>
                </c:pt>
                <c:pt idx="99">
                  <c:v>842</c:v>
                </c:pt>
                <c:pt idx="100">
                  <c:v>471</c:v>
                </c:pt>
                <c:pt idx="101">
                  <c:v>103</c:v>
                </c:pt>
                <c:pt idx="102">
                  <c:v>4274</c:v>
                </c:pt>
                <c:pt idx="103">
                  <c:v>3719</c:v>
                </c:pt>
                <c:pt idx="104">
                  <c:v>3166</c:v>
                </c:pt>
                <c:pt idx="105">
                  <c:v>2599</c:v>
                </c:pt>
                <c:pt idx="106">
                  <c:v>1851</c:v>
                </c:pt>
                <c:pt idx="107">
                  <c:v>1342</c:v>
                </c:pt>
                <c:pt idx="108">
                  <c:v>978</c:v>
                </c:pt>
                <c:pt idx="109">
                  <c:v>571</c:v>
                </c:pt>
                <c:pt idx="110">
                  <c:v>180</c:v>
                </c:pt>
                <c:pt idx="111">
                  <c:v>4771</c:v>
                </c:pt>
                <c:pt idx="112">
                  <c:v>4252</c:v>
                </c:pt>
                <c:pt idx="113">
                  <c:v>3928</c:v>
                </c:pt>
                <c:pt idx="114">
                  <c:v>3495</c:v>
                </c:pt>
                <c:pt idx="115">
                  <c:v>2785</c:v>
                </c:pt>
                <c:pt idx="116">
                  <c:v>2199</c:v>
                </c:pt>
                <c:pt idx="117">
                  <c:v>1899</c:v>
                </c:pt>
                <c:pt idx="118">
                  <c:v>1364</c:v>
                </c:pt>
                <c:pt idx="119">
                  <c:v>806</c:v>
                </c:pt>
                <c:pt idx="120">
                  <c:v>203</c:v>
                </c:pt>
                <c:pt idx="121">
                  <c:v>0</c:v>
                </c:pt>
                <c:pt idx="122">
                  <c:v>4192</c:v>
                </c:pt>
                <c:pt idx="123">
                  <c:v>3505</c:v>
                </c:pt>
                <c:pt idx="124">
                  <c:v>3019</c:v>
                </c:pt>
                <c:pt idx="125">
                  <c:v>2541</c:v>
                </c:pt>
                <c:pt idx="126">
                  <c:v>2031</c:v>
                </c:pt>
                <c:pt idx="127">
                  <c:v>1203</c:v>
                </c:pt>
                <c:pt idx="128">
                  <c:v>734</c:v>
                </c:pt>
                <c:pt idx="129">
                  <c:v>214</c:v>
                </c:pt>
                <c:pt idx="130">
                  <c:v>0</c:v>
                </c:pt>
                <c:pt idx="131">
                  <c:v>4401</c:v>
                </c:pt>
                <c:pt idx="132">
                  <c:v>3859</c:v>
                </c:pt>
                <c:pt idx="133">
                  <c:v>3325</c:v>
                </c:pt>
                <c:pt idx="134">
                  <c:v>2908</c:v>
                </c:pt>
                <c:pt idx="135">
                  <c:v>2650</c:v>
                </c:pt>
                <c:pt idx="136">
                  <c:v>1975</c:v>
                </c:pt>
                <c:pt idx="137">
                  <c:v>1360</c:v>
                </c:pt>
                <c:pt idx="138">
                  <c:v>649</c:v>
                </c:pt>
                <c:pt idx="139">
                  <c:v>239</c:v>
                </c:pt>
                <c:pt idx="140">
                  <c:v>0</c:v>
                </c:pt>
                <c:pt idx="141">
                  <c:v>4577</c:v>
                </c:pt>
                <c:pt idx="142">
                  <c:v>4042</c:v>
                </c:pt>
                <c:pt idx="143">
                  <c:v>3567</c:v>
                </c:pt>
                <c:pt idx="144">
                  <c:v>3085</c:v>
                </c:pt>
                <c:pt idx="145">
                  <c:v>2822</c:v>
                </c:pt>
                <c:pt idx="146">
                  <c:v>2356</c:v>
                </c:pt>
                <c:pt idx="147">
                  <c:v>2120</c:v>
                </c:pt>
                <c:pt idx="148">
                  <c:v>1719</c:v>
                </c:pt>
                <c:pt idx="149">
                  <c:v>1210</c:v>
                </c:pt>
                <c:pt idx="150">
                  <c:v>787</c:v>
                </c:pt>
                <c:pt idx="151">
                  <c:v>63</c:v>
                </c:pt>
                <c:pt idx="152">
                  <c:v>4483</c:v>
                </c:pt>
                <c:pt idx="153">
                  <c:v>4236</c:v>
                </c:pt>
                <c:pt idx="154">
                  <c:v>3594</c:v>
                </c:pt>
                <c:pt idx="155">
                  <c:v>3066</c:v>
                </c:pt>
                <c:pt idx="156">
                  <c:v>2470</c:v>
                </c:pt>
                <c:pt idx="157">
                  <c:v>1921</c:v>
                </c:pt>
                <c:pt idx="158">
                  <c:v>1592</c:v>
                </c:pt>
                <c:pt idx="159">
                  <c:v>901</c:v>
                </c:pt>
                <c:pt idx="160">
                  <c:v>411</c:v>
                </c:pt>
                <c:pt idx="161">
                  <c:v>0</c:v>
                </c:pt>
                <c:pt idx="162">
                  <c:v>4484</c:v>
                </c:pt>
                <c:pt idx="163">
                  <c:v>3796</c:v>
                </c:pt>
                <c:pt idx="164">
                  <c:v>3283</c:v>
                </c:pt>
                <c:pt idx="165">
                  <c:v>2898</c:v>
                </c:pt>
                <c:pt idx="166">
                  <c:v>2547</c:v>
                </c:pt>
                <c:pt idx="167">
                  <c:v>2053</c:v>
                </c:pt>
                <c:pt idx="168">
                  <c:v>1486</c:v>
                </c:pt>
                <c:pt idx="169">
                  <c:v>1058</c:v>
                </c:pt>
                <c:pt idx="170">
                  <c:v>616</c:v>
                </c:pt>
                <c:pt idx="171">
                  <c:v>223</c:v>
                </c:pt>
                <c:pt idx="172">
                  <c:v>0</c:v>
                </c:pt>
                <c:pt idx="173">
                  <c:v>4685</c:v>
                </c:pt>
                <c:pt idx="174">
                  <c:v>4288</c:v>
                </c:pt>
                <c:pt idx="175">
                  <c:v>3691</c:v>
                </c:pt>
                <c:pt idx="176">
                  <c:v>3209</c:v>
                </c:pt>
                <c:pt idx="177">
                  <c:v>2739</c:v>
                </c:pt>
                <c:pt idx="178">
                  <c:v>2333</c:v>
                </c:pt>
                <c:pt idx="179">
                  <c:v>1908</c:v>
                </c:pt>
                <c:pt idx="180">
                  <c:v>1659</c:v>
                </c:pt>
                <c:pt idx="181">
                  <c:v>1067</c:v>
                </c:pt>
                <c:pt idx="182">
                  <c:v>773</c:v>
                </c:pt>
                <c:pt idx="183">
                  <c:v>131</c:v>
                </c:pt>
                <c:pt idx="184">
                  <c:v>4609</c:v>
                </c:pt>
                <c:pt idx="185">
                  <c:v>3964</c:v>
                </c:pt>
                <c:pt idx="186">
                  <c:v>3419</c:v>
                </c:pt>
                <c:pt idx="187">
                  <c:v>2861</c:v>
                </c:pt>
                <c:pt idx="188">
                  <c:v>2605</c:v>
                </c:pt>
                <c:pt idx="189">
                  <c:v>2079</c:v>
                </c:pt>
                <c:pt idx="190">
                  <c:v>1736</c:v>
                </c:pt>
                <c:pt idx="191">
                  <c:v>1371</c:v>
                </c:pt>
                <c:pt idx="192">
                  <c:v>958</c:v>
                </c:pt>
                <c:pt idx="193">
                  <c:v>349</c:v>
                </c:pt>
                <c:pt idx="194">
                  <c:v>0</c:v>
                </c:pt>
                <c:pt idx="195">
                  <c:v>4477</c:v>
                </c:pt>
                <c:pt idx="196">
                  <c:v>3964</c:v>
                </c:pt>
                <c:pt idx="197">
                  <c:v>3398</c:v>
                </c:pt>
                <c:pt idx="198">
                  <c:v>2828</c:v>
                </c:pt>
                <c:pt idx="199">
                  <c:v>2488</c:v>
                </c:pt>
                <c:pt idx="200">
                  <c:v>1684</c:v>
                </c:pt>
                <c:pt idx="201">
                  <c:v>1016</c:v>
                </c:pt>
                <c:pt idx="202">
                  <c:v>254</c:v>
                </c:pt>
                <c:pt idx="203">
                  <c:v>0</c:v>
                </c:pt>
                <c:pt idx="204">
                  <c:v>4389</c:v>
                </c:pt>
                <c:pt idx="205">
                  <c:v>3975</c:v>
                </c:pt>
                <c:pt idx="206">
                  <c:v>3511</c:v>
                </c:pt>
                <c:pt idx="207">
                  <c:v>2931</c:v>
                </c:pt>
                <c:pt idx="208">
                  <c:v>2338</c:v>
                </c:pt>
                <c:pt idx="209">
                  <c:v>1853</c:v>
                </c:pt>
                <c:pt idx="210">
                  <c:v>1122</c:v>
                </c:pt>
                <c:pt idx="211">
                  <c:v>554</c:v>
                </c:pt>
                <c:pt idx="212">
                  <c:v>0</c:v>
                </c:pt>
                <c:pt idx="213">
                  <c:v>4477</c:v>
                </c:pt>
                <c:pt idx="214">
                  <c:v>4008</c:v>
                </c:pt>
                <c:pt idx="215">
                  <c:v>3556</c:v>
                </c:pt>
                <c:pt idx="216">
                  <c:v>3171</c:v>
                </c:pt>
                <c:pt idx="217">
                  <c:v>2645</c:v>
                </c:pt>
                <c:pt idx="218">
                  <c:v>1837</c:v>
                </c:pt>
                <c:pt idx="219">
                  <c:v>1423</c:v>
                </c:pt>
                <c:pt idx="220">
                  <c:v>1038</c:v>
                </c:pt>
                <c:pt idx="221">
                  <c:v>491</c:v>
                </c:pt>
                <c:pt idx="222">
                  <c:v>173</c:v>
                </c:pt>
                <c:pt idx="223">
                  <c:v>4935</c:v>
                </c:pt>
                <c:pt idx="224">
                  <c:v>4475</c:v>
                </c:pt>
                <c:pt idx="225">
                  <c:v>3901</c:v>
                </c:pt>
                <c:pt idx="226">
                  <c:v>3421</c:v>
                </c:pt>
                <c:pt idx="227">
                  <c:v>3087</c:v>
                </c:pt>
                <c:pt idx="228">
                  <c:v>2621</c:v>
                </c:pt>
                <c:pt idx="229">
                  <c:v>2030</c:v>
                </c:pt>
                <c:pt idx="230">
                  <c:v>1681</c:v>
                </c:pt>
                <c:pt idx="231">
                  <c:v>1162</c:v>
                </c:pt>
                <c:pt idx="232">
                  <c:v>711</c:v>
                </c:pt>
                <c:pt idx="233">
                  <c:v>278</c:v>
                </c:pt>
                <c:pt idx="234">
                  <c:v>0</c:v>
                </c:pt>
                <c:pt idx="235">
                  <c:v>4472</c:v>
                </c:pt>
                <c:pt idx="236">
                  <c:v>4140</c:v>
                </c:pt>
                <c:pt idx="237">
                  <c:v>3705</c:v>
                </c:pt>
                <c:pt idx="238">
                  <c:v>3054</c:v>
                </c:pt>
                <c:pt idx="239">
                  <c:v>2667</c:v>
                </c:pt>
                <c:pt idx="240">
                  <c:v>2229</c:v>
                </c:pt>
                <c:pt idx="241">
                  <c:v>1666</c:v>
                </c:pt>
                <c:pt idx="242">
                  <c:v>1164</c:v>
                </c:pt>
                <c:pt idx="243">
                  <c:v>611</c:v>
                </c:pt>
                <c:pt idx="244">
                  <c:v>204</c:v>
                </c:pt>
                <c:pt idx="245">
                  <c:v>0</c:v>
                </c:pt>
                <c:pt idx="246">
                  <c:v>4509</c:v>
                </c:pt>
                <c:pt idx="247">
                  <c:v>3972</c:v>
                </c:pt>
                <c:pt idx="248">
                  <c:v>3585</c:v>
                </c:pt>
                <c:pt idx="249">
                  <c:v>2991</c:v>
                </c:pt>
                <c:pt idx="250">
                  <c:v>2269</c:v>
                </c:pt>
                <c:pt idx="251">
                  <c:v>1862</c:v>
                </c:pt>
                <c:pt idx="252">
                  <c:v>1258</c:v>
                </c:pt>
                <c:pt idx="253">
                  <c:v>1058</c:v>
                </c:pt>
                <c:pt idx="254">
                  <c:v>476</c:v>
                </c:pt>
                <c:pt idx="255">
                  <c:v>0</c:v>
                </c:pt>
                <c:pt idx="256">
                  <c:v>4451</c:v>
                </c:pt>
                <c:pt idx="257">
                  <c:v>3756</c:v>
                </c:pt>
                <c:pt idx="258">
                  <c:v>3428</c:v>
                </c:pt>
                <c:pt idx="259">
                  <c:v>2809</c:v>
                </c:pt>
                <c:pt idx="260">
                  <c:v>2082</c:v>
                </c:pt>
                <c:pt idx="261">
                  <c:v>1767</c:v>
                </c:pt>
                <c:pt idx="262">
                  <c:v>1480</c:v>
                </c:pt>
                <c:pt idx="263">
                  <c:v>865</c:v>
                </c:pt>
                <c:pt idx="264">
                  <c:v>412</c:v>
                </c:pt>
                <c:pt idx="265">
                  <c:v>0</c:v>
                </c:pt>
                <c:pt idx="266">
                  <c:v>4631</c:v>
                </c:pt>
                <c:pt idx="267">
                  <c:v>4196</c:v>
                </c:pt>
                <c:pt idx="268">
                  <c:v>3816</c:v>
                </c:pt>
                <c:pt idx="269">
                  <c:v>3340</c:v>
                </c:pt>
                <c:pt idx="270">
                  <c:v>2887</c:v>
                </c:pt>
                <c:pt idx="271">
                  <c:v>2405</c:v>
                </c:pt>
                <c:pt idx="272">
                  <c:v>2283</c:v>
                </c:pt>
                <c:pt idx="273">
                  <c:v>1704</c:v>
                </c:pt>
                <c:pt idx="274">
                  <c:v>1078</c:v>
                </c:pt>
                <c:pt idx="275">
                  <c:v>644</c:v>
                </c:pt>
                <c:pt idx="276">
                  <c:v>74</c:v>
                </c:pt>
                <c:pt idx="277">
                  <c:v>4542</c:v>
                </c:pt>
                <c:pt idx="278">
                  <c:v>4361</c:v>
                </c:pt>
                <c:pt idx="279">
                  <c:v>3625</c:v>
                </c:pt>
                <c:pt idx="280">
                  <c:v>3152</c:v>
                </c:pt>
                <c:pt idx="281">
                  <c:v>2871</c:v>
                </c:pt>
                <c:pt idx="282">
                  <c:v>2224</c:v>
                </c:pt>
                <c:pt idx="283">
                  <c:v>1816</c:v>
                </c:pt>
                <c:pt idx="284">
                  <c:v>1238</c:v>
                </c:pt>
                <c:pt idx="285">
                  <c:v>930</c:v>
                </c:pt>
                <c:pt idx="286">
                  <c:v>621</c:v>
                </c:pt>
                <c:pt idx="287">
                  <c:v>136</c:v>
                </c:pt>
                <c:pt idx="288">
                  <c:v>4677</c:v>
                </c:pt>
                <c:pt idx="289">
                  <c:v>3996</c:v>
                </c:pt>
                <c:pt idx="290">
                  <c:v>3331</c:v>
                </c:pt>
                <c:pt idx="291">
                  <c:v>2942</c:v>
                </c:pt>
                <c:pt idx="292">
                  <c:v>2142</c:v>
                </c:pt>
                <c:pt idx="293">
                  <c:v>1653</c:v>
                </c:pt>
                <c:pt idx="294">
                  <c:v>1341</c:v>
                </c:pt>
                <c:pt idx="295">
                  <c:v>746</c:v>
                </c:pt>
                <c:pt idx="296">
                  <c:v>111</c:v>
                </c:pt>
                <c:pt idx="297">
                  <c:v>4474</c:v>
                </c:pt>
                <c:pt idx="298">
                  <c:v>3937</c:v>
                </c:pt>
                <c:pt idx="299">
                  <c:v>3250</c:v>
                </c:pt>
                <c:pt idx="300">
                  <c:v>2814</c:v>
                </c:pt>
                <c:pt idx="301">
                  <c:v>2354</c:v>
                </c:pt>
                <c:pt idx="302">
                  <c:v>2163</c:v>
                </c:pt>
                <c:pt idx="303">
                  <c:v>1640</c:v>
                </c:pt>
                <c:pt idx="304">
                  <c:v>973</c:v>
                </c:pt>
                <c:pt idx="305">
                  <c:v>679</c:v>
                </c:pt>
                <c:pt idx="306">
                  <c:v>250</c:v>
                </c:pt>
                <c:pt idx="307">
                  <c:v>0</c:v>
                </c:pt>
                <c:pt idx="308">
                  <c:v>4682</c:v>
                </c:pt>
                <c:pt idx="309">
                  <c:v>4268</c:v>
                </c:pt>
                <c:pt idx="310">
                  <c:v>3624</c:v>
                </c:pt>
                <c:pt idx="311">
                  <c:v>3079</c:v>
                </c:pt>
                <c:pt idx="312">
                  <c:v>2644</c:v>
                </c:pt>
                <c:pt idx="313">
                  <c:v>2203</c:v>
                </c:pt>
                <c:pt idx="314">
                  <c:v>1811</c:v>
                </c:pt>
                <c:pt idx="315">
                  <c:v>1464</c:v>
                </c:pt>
                <c:pt idx="316">
                  <c:v>1102</c:v>
                </c:pt>
                <c:pt idx="317">
                  <c:v>777</c:v>
                </c:pt>
                <c:pt idx="318">
                  <c:v>240</c:v>
                </c:pt>
                <c:pt idx="319">
                  <c:v>0</c:v>
                </c:pt>
                <c:pt idx="320">
                  <c:v>4611</c:v>
                </c:pt>
                <c:pt idx="321">
                  <c:v>4262</c:v>
                </c:pt>
                <c:pt idx="322">
                  <c:v>3976</c:v>
                </c:pt>
                <c:pt idx="323">
                  <c:v>3432</c:v>
                </c:pt>
                <c:pt idx="324">
                  <c:v>3015</c:v>
                </c:pt>
                <c:pt idx="325">
                  <c:v>2637</c:v>
                </c:pt>
                <c:pt idx="326">
                  <c:v>2096</c:v>
                </c:pt>
                <c:pt idx="327">
                  <c:v>1458</c:v>
                </c:pt>
                <c:pt idx="328">
                  <c:v>1028</c:v>
                </c:pt>
                <c:pt idx="329">
                  <c:v>323</c:v>
                </c:pt>
                <c:pt idx="330">
                  <c:v>0</c:v>
                </c:pt>
                <c:pt idx="331">
                  <c:v>4421</c:v>
                </c:pt>
                <c:pt idx="332">
                  <c:v>3704</c:v>
                </c:pt>
                <c:pt idx="333">
                  <c:v>3078</c:v>
                </c:pt>
                <c:pt idx="334">
                  <c:v>2693</c:v>
                </c:pt>
                <c:pt idx="335">
                  <c:v>2299</c:v>
                </c:pt>
                <c:pt idx="336">
                  <c:v>1657</c:v>
                </c:pt>
                <c:pt idx="337">
                  <c:v>907</c:v>
                </c:pt>
                <c:pt idx="338">
                  <c:v>302</c:v>
                </c:pt>
                <c:pt idx="339">
                  <c:v>0</c:v>
                </c:pt>
                <c:pt idx="340">
                  <c:v>4328</c:v>
                </c:pt>
                <c:pt idx="341">
                  <c:v>3569</c:v>
                </c:pt>
                <c:pt idx="342">
                  <c:v>3062</c:v>
                </c:pt>
                <c:pt idx="343">
                  <c:v>2594</c:v>
                </c:pt>
                <c:pt idx="344">
                  <c:v>2245</c:v>
                </c:pt>
                <c:pt idx="345">
                  <c:v>1621</c:v>
                </c:pt>
                <c:pt idx="346">
                  <c:v>1153</c:v>
                </c:pt>
                <c:pt idx="347">
                  <c:v>795</c:v>
                </c:pt>
                <c:pt idx="348">
                  <c:v>190</c:v>
                </c:pt>
                <c:pt idx="349">
                  <c:v>4936</c:v>
                </c:pt>
                <c:pt idx="350">
                  <c:v>4454</c:v>
                </c:pt>
                <c:pt idx="351">
                  <c:v>4170</c:v>
                </c:pt>
                <c:pt idx="352">
                  <c:v>3757</c:v>
                </c:pt>
                <c:pt idx="353">
                  <c:v>3250</c:v>
                </c:pt>
                <c:pt idx="354">
                  <c:v>2660</c:v>
                </c:pt>
                <c:pt idx="355">
                  <c:v>2046</c:v>
                </c:pt>
                <c:pt idx="356">
                  <c:v>1783</c:v>
                </c:pt>
                <c:pt idx="357">
                  <c:v>1282</c:v>
                </c:pt>
                <c:pt idx="358">
                  <c:v>590</c:v>
                </c:pt>
                <c:pt idx="359">
                  <c:v>140</c:v>
                </c:pt>
                <c:pt idx="360">
                  <c:v>4494</c:v>
                </c:pt>
                <c:pt idx="361">
                  <c:v>3910</c:v>
                </c:pt>
                <c:pt idx="362">
                  <c:v>3495</c:v>
                </c:pt>
                <c:pt idx="363">
                  <c:v>2860</c:v>
                </c:pt>
                <c:pt idx="364">
                  <c:v>2615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3-43BF-985E-95F348B066B2}"/>
            </c:ext>
          </c:extLst>
        </c:ser>
        <c:ser>
          <c:idx val="1"/>
          <c:order val="1"/>
          <c:tx>
            <c:strRef>
              <c:f>'Calculation Sheet'!$Z$8</c:f>
              <c:strCache>
                <c:ptCount val="1"/>
                <c:pt idx="0">
                  <c:v>Demand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'Calculation Sheet'!$Z$9:$Z$373</c:f>
              <c:numCache>
                <c:formatCode>General</c:formatCode>
                <c:ptCount val="365"/>
                <c:pt idx="0">
                  <c:v>493</c:v>
                </c:pt>
                <c:pt idx="1">
                  <c:v>540</c:v>
                </c:pt>
                <c:pt idx="2">
                  <c:v>345</c:v>
                </c:pt>
                <c:pt idx="3">
                  <c:v>556</c:v>
                </c:pt>
                <c:pt idx="4">
                  <c:v>474</c:v>
                </c:pt>
                <c:pt idx="5">
                  <c:v>416</c:v>
                </c:pt>
                <c:pt idx="6">
                  <c:v>295</c:v>
                </c:pt>
                <c:pt idx="7">
                  <c:v>324</c:v>
                </c:pt>
                <c:pt idx="8">
                  <c:v>610</c:v>
                </c:pt>
                <c:pt idx="9">
                  <c:v>548</c:v>
                </c:pt>
                <c:pt idx="10">
                  <c:v>467</c:v>
                </c:pt>
                <c:pt idx="11">
                  <c:v>729</c:v>
                </c:pt>
                <c:pt idx="12">
                  <c:v>632</c:v>
                </c:pt>
                <c:pt idx="13">
                  <c:v>542</c:v>
                </c:pt>
                <c:pt idx="14">
                  <c:v>315</c:v>
                </c:pt>
                <c:pt idx="15">
                  <c:v>516</c:v>
                </c:pt>
                <c:pt idx="16">
                  <c:v>272</c:v>
                </c:pt>
                <c:pt idx="17">
                  <c:v>478</c:v>
                </c:pt>
                <c:pt idx="18">
                  <c:v>378</c:v>
                </c:pt>
                <c:pt idx="19">
                  <c:v>342</c:v>
                </c:pt>
                <c:pt idx="20">
                  <c:v>837</c:v>
                </c:pt>
                <c:pt idx="21">
                  <c:v>338</c:v>
                </c:pt>
                <c:pt idx="22">
                  <c:v>770</c:v>
                </c:pt>
                <c:pt idx="23">
                  <c:v>654</c:v>
                </c:pt>
                <c:pt idx="24">
                  <c:v>553</c:v>
                </c:pt>
                <c:pt idx="25">
                  <c:v>563</c:v>
                </c:pt>
                <c:pt idx="26">
                  <c:v>449</c:v>
                </c:pt>
                <c:pt idx="27">
                  <c:v>712</c:v>
                </c:pt>
                <c:pt idx="28">
                  <c:v>461</c:v>
                </c:pt>
                <c:pt idx="29">
                  <c:v>511</c:v>
                </c:pt>
                <c:pt idx="30">
                  <c:v>392</c:v>
                </c:pt>
                <c:pt idx="31">
                  <c:v>634</c:v>
                </c:pt>
                <c:pt idx="32">
                  <c:v>274</c:v>
                </c:pt>
                <c:pt idx="33">
                  <c:v>438</c:v>
                </c:pt>
                <c:pt idx="34">
                  <c:v>522</c:v>
                </c:pt>
                <c:pt idx="35">
                  <c:v>675</c:v>
                </c:pt>
                <c:pt idx="36">
                  <c:v>709</c:v>
                </c:pt>
                <c:pt idx="37">
                  <c:v>773</c:v>
                </c:pt>
                <c:pt idx="38">
                  <c:v>517</c:v>
                </c:pt>
                <c:pt idx="39">
                  <c:v>243</c:v>
                </c:pt>
                <c:pt idx="40">
                  <c:v>377</c:v>
                </c:pt>
                <c:pt idx="41">
                  <c:v>734</c:v>
                </c:pt>
                <c:pt idx="42">
                  <c:v>388</c:v>
                </c:pt>
                <c:pt idx="43">
                  <c:v>492</c:v>
                </c:pt>
                <c:pt idx="44">
                  <c:v>345</c:v>
                </c:pt>
                <c:pt idx="45">
                  <c:v>476</c:v>
                </c:pt>
                <c:pt idx="46">
                  <c:v>565</c:v>
                </c:pt>
                <c:pt idx="47">
                  <c:v>595</c:v>
                </c:pt>
                <c:pt idx="48">
                  <c:v>585</c:v>
                </c:pt>
                <c:pt idx="49">
                  <c:v>181</c:v>
                </c:pt>
                <c:pt idx="50">
                  <c:v>461</c:v>
                </c:pt>
                <c:pt idx="51">
                  <c:v>581</c:v>
                </c:pt>
                <c:pt idx="52">
                  <c:v>486</c:v>
                </c:pt>
                <c:pt idx="53">
                  <c:v>516</c:v>
                </c:pt>
                <c:pt idx="54">
                  <c:v>779</c:v>
                </c:pt>
                <c:pt idx="55">
                  <c:v>753</c:v>
                </c:pt>
                <c:pt idx="56">
                  <c:v>600</c:v>
                </c:pt>
                <c:pt idx="57">
                  <c:v>484</c:v>
                </c:pt>
                <c:pt idx="58">
                  <c:v>618</c:v>
                </c:pt>
                <c:pt idx="59">
                  <c:v>772</c:v>
                </c:pt>
                <c:pt idx="60">
                  <c:v>392</c:v>
                </c:pt>
                <c:pt idx="61">
                  <c:v>361</c:v>
                </c:pt>
                <c:pt idx="62">
                  <c:v>299</c:v>
                </c:pt>
                <c:pt idx="63">
                  <c:v>432</c:v>
                </c:pt>
                <c:pt idx="64">
                  <c:v>379</c:v>
                </c:pt>
                <c:pt idx="65">
                  <c:v>554</c:v>
                </c:pt>
                <c:pt idx="66">
                  <c:v>504</c:v>
                </c:pt>
                <c:pt idx="67">
                  <c:v>454</c:v>
                </c:pt>
                <c:pt idx="68">
                  <c:v>619</c:v>
                </c:pt>
                <c:pt idx="69">
                  <c:v>454</c:v>
                </c:pt>
                <c:pt idx="70">
                  <c:v>442</c:v>
                </c:pt>
                <c:pt idx="71">
                  <c:v>458</c:v>
                </c:pt>
                <c:pt idx="72">
                  <c:v>550</c:v>
                </c:pt>
                <c:pt idx="73">
                  <c:v>569</c:v>
                </c:pt>
                <c:pt idx="74">
                  <c:v>599</c:v>
                </c:pt>
                <c:pt idx="75">
                  <c:v>582</c:v>
                </c:pt>
                <c:pt idx="76">
                  <c:v>489</c:v>
                </c:pt>
                <c:pt idx="77">
                  <c:v>758</c:v>
                </c:pt>
                <c:pt idx="78">
                  <c:v>477</c:v>
                </c:pt>
                <c:pt idx="79">
                  <c:v>706</c:v>
                </c:pt>
                <c:pt idx="80">
                  <c:v>561</c:v>
                </c:pt>
                <c:pt idx="81">
                  <c:v>658</c:v>
                </c:pt>
                <c:pt idx="82">
                  <c:v>239</c:v>
                </c:pt>
                <c:pt idx="83">
                  <c:v>515</c:v>
                </c:pt>
                <c:pt idx="84">
                  <c:v>632</c:v>
                </c:pt>
                <c:pt idx="85">
                  <c:v>716</c:v>
                </c:pt>
                <c:pt idx="86">
                  <c:v>577</c:v>
                </c:pt>
                <c:pt idx="87">
                  <c:v>483</c:v>
                </c:pt>
                <c:pt idx="88">
                  <c:v>452</c:v>
                </c:pt>
                <c:pt idx="89">
                  <c:v>508</c:v>
                </c:pt>
                <c:pt idx="90">
                  <c:v>631</c:v>
                </c:pt>
                <c:pt idx="91">
                  <c:v>326</c:v>
                </c:pt>
                <c:pt idx="92">
                  <c:v>533</c:v>
                </c:pt>
                <c:pt idx="93">
                  <c:v>345</c:v>
                </c:pt>
                <c:pt idx="94">
                  <c:v>892</c:v>
                </c:pt>
                <c:pt idx="95">
                  <c:v>590</c:v>
                </c:pt>
                <c:pt idx="96">
                  <c:v>571</c:v>
                </c:pt>
                <c:pt idx="97">
                  <c:v>392</c:v>
                </c:pt>
                <c:pt idx="98">
                  <c:v>393</c:v>
                </c:pt>
                <c:pt idx="99">
                  <c:v>442</c:v>
                </c:pt>
                <c:pt idx="100">
                  <c:v>371</c:v>
                </c:pt>
                <c:pt idx="101">
                  <c:v>368</c:v>
                </c:pt>
                <c:pt idx="102">
                  <c:v>829</c:v>
                </c:pt>
                <c:pt idx="103">
                  <c:v>555</c:v>
                </c:pt>
                <c:pt idx="104">
                  <c:v>553</c:v>
                </c:pt>
                <c:pt idx="105">
                  <c:v>567</c:v>
                </c:pt>
                <c:pt idx="106">
                  <c:v>748</c:v>
                </c:pt>
                <c:pt idx="107">
                  <c:v>509</c:v>
                </c:pt>
                <c:pt idx="108">
                  <c:v>364</c:v>
                </c:pt>
                <c:pt idx="109">
                  <c:v>407</c:v>
                </c:pt>
                <c:pt idx="110">
                  <c:v>391</c:v>
                </c:pt>
                <c:pt idx="111">
                  <c:v>409</c:v>
                </c:pt>
                <c:pt idx="112">
                  <c:v>519</c:v>
                </c:pt>
                <c:pt idx="113">
                  <c:v>324</c:v>
                </c:pt>
                <c:pt idx="114">
                  <c:v>433</c:v>
                </c:pt>
                <c:pt idx="115">
                  <c:v>710</c:v>
                </c:pt>
                <c:pt idx="116">
                  <c:v>586</c:v>
                </c:pt>
                <c:pt idx="117">
                  <c:v>300</c:v>
                </c:pt>
                <c:pt idx="118">
                  <c:v>535</c:v>
                </c:pt>
                <c:pt idx="119">
                  <c:v>558</c:v>
                </c:pt>
                <c:pt idx="120">
                  <c:v>603</c:v>
                </c:pt>
                <c:pt idx="121">
                  <c:v>546</c:v>
                </c:pt>
                <c:pt idx="122">
                  <c:v>808</c:v>
                </c:pt>
                <c:pt idx="123">
                  <c:v>687</c:v>
                </c:pt>
                <c:pt idx="124">
                  <c:v>486</c:v>
                </c:pt>
                <c:pt idx="125">
                  <c:v>478</c:v>
                </c:pt>
                <c:pt idx="126">
                  <c:v>510</c:v>
                </c:pt>
                <c:pt idx="127">
                  <c:v>828</c:v>
                </c:pt>
                <c:pt idx="128">
                  <c:v>469</c:v>
                </c:pt>
                <c:pt idx="129">
                  <c:v>520</c:v>
                </c:pt>
                <c:pt idx="130">
                  <c:v>328</c:v>
                </c:pt>
                <c:pt idx="131">
                  <c:v>599</c:v>
                </c:pt>
                <c:pt idx="132">
                  <c:v>542</c:v>
                </c:pt>
                <c:pt idx="133">
                  <c:v>534</c:v>
                </c:pt>
                <c:pt idx="134">
                  <c:v>417</c:v>
                </c:pt>
                <c:pt idx="135">
                  <c:v>258</c:v>
                </c:pt>
                <c:pt idx="136">
                  <c:v>675</c:v>
                </c:pt>
                <c:pt idx="137">
                  <c:v>615</c:v>
                </c:pt>
                <c:pt idx="138">
                  <c:v>711</c:v>
                </c:pt>
                <c:pt idx="139">
                  <c:v>410</c:v>
                </c:pt>
                <c:pt idx="140">
                  <c:v>428</c:v>
                </c:pt>
                <c:pt idx="141">
                  <c:v>423</c:v>
                </c:pt>
                <c:pt idx="142">
                  <c:v>535</c:v>
                </c:pt>
                <c:pt idx="143">
                  <c:v>475</c:v>
                </c:pt>
                <c:pt idx="144">
                  <c:v>482</c:v>
                </c:pt>
                <c:pt idx="145">
                  <c:v>263</c:v>
                </c:pt>
                <c:pt idx="146">
                  <c:v>466</c:v>
                </c:pt>
                <c:pt idx="147">
                  <c:v>236</c:v>
                </c:pt>
                <c:pt idx="148">
                  <c:v>401</c:v>
                </c:pt>
                <c:pt idx="149">
                  <c:v>509</c:v>
                </c:pt>
                <c:pt idx="150">
                  <c:v>423</c:v>
                </c:pt>
                <c:pt idx="151">
                  <c:v>724</c:v>
                </c:pt>
                <c:pt idx="152">
                  <c:v>580</c:v>
                </c:pt>
                <c:pt idx="153">
                  <c:v>247</c:v>
                </c:pt>
                <c:pt idx="154">
                  <c:v>642</c:v>
                </c:pt>
                <c:pt idx="155">
                  <c:v>528</c:v>
                </c:pt>
                <c:pt idx="156">
                  <c:v>596</c:v>
                </c:pt>
                <c:pt idx="157">
                  <c:v>549</c:v>
                </c:pt>
                <c:pt idx="158">
                  <c:v>329</c:v>
                </c:pt>
                <c:pt idx="159">
                  <c:v>691</c:v>
                </c:pt>
                <c:pt idx="160">
                  <c:v>490</c:v>
                </c:pt>
                <c:pt idx="161">
                  <c:v>433</c:v>
                </c:pt>
                <c:pt idx="162">
                  <c:v>516</c:v>
                </c:pt>
                <c:pt idx="163">
                  <c:v>688</c:v>
                </c:pt>
                <c:pt idx="164">
                  <c:v>513</c:v>
                </c:pt>
                <c:pt idx="165">
                  <c:v>385</c:v>
                </c:pt>
                <c:pt idx="166">
                  <c:v>351</c:v>
                </c:pt>
                <c:pt idx="167">
                  <c:v>494</c:v>
                </c:pt>
                <c:pt idx="168">
                  <c:v>567</c:v>
                </c:pt>
                <c:pt idx="169">
                  <c:v>428</c:v>
                </c:pt>
                <c:pt idx="170">
                  <c:v>442</c:v>
                </c:pt>
                <c:pt idx="171">
                  <c:v>393</c:v>
                </c:pt>
                <c:pt idx="172">
                  <c:v>366</c:v>
                </c:pt>
                <c:pt idx="173">
                  <c:v>315</c:v>
                </c:pt>
                <c:pt idx="174">
                  <c:v>397</c:v>
                </c:pt>
                <c:pt idx="175">
                  <c:v>597</c:v>
                </c:pt>
                <c:pt idx="176">
                  <c:v>482</c:v>
                </c:pt>
                <c:pt idx="177">
                  <c:v>470</c:v>
                </c:pt>
                <c:pt idx="178">
                  <c:v>406</c:v>
                </c:pt>
                <c:pt idx="179">
                  <c:v>425</c:v>
                </c:pt>
                <c:pt idx="180">
                  <c:v>249</c:v>
                </c:pt>
                <c:pt idx="181">
                  <c:v>592</c:v>
                </c:pt>
                <c:pt idx="182">
                  <c:v>294</c:v>
                </c:pt>
                <c:pt idx="183">
                  <c:v>642</c:v>
                </c:pt>
                <c:pt idx="184">
                  <c:v>522</c:v>
                </c:pt>
                <c:pt idx="185">
                  <c:v>645</c:v>
                </c:pt>
                <c:pt idx="186">
                  <c:v>545</c:v>
                </c:pt>
                <c:pt idx="187">
                  <c:v>558</c:v>
                </c:pt>
                <c:pt idx="188">
                  <c:v>256</c:v>
                </c:pt>
                <c:pt idx="189">
                  <c:v>526</c:v>
                </c:pt>
                <c:pt idx="190">
                  <c:v>343</c:v>
                </c:pt>
                <c:pt idx="191">
                  <c:v>365</c:v>
                </c:pt>
                <c:pt idx="192">
                  <c:v>413</c:v>
                </c:pt>
                <c:pt idx="193">
                  <c:v>609</c:v>
                </c:pt>
                <c:pt idx="194">
                  <c:v>590</c:v>
                </c:pt>
                <c:pt idx="195">
                  <c:v>523</c:v>
                </c:pt>
                <c:pt idx="196">
                  <c:v>513</c:v>
                </c:pt>
                <c:pt idx="197">
                  <c:v>566</c:v>
                </c:pt>
                <c:pt idx="198">
                  <c:v>570</c:v>
                </c:pt>
                <c:pt idx="199">
                  <c:v>340</c:v>
                </c:pt>
                <c:pt idx="200">
                  <c:v>804</c:v>
                </c:pt>
                <c:pt idx="201">
                  <c:v>668</c:v>
                </c:pt>
                <c:pt idx="202">
                  <c:v>762</c:v>
                </c:pt>
                <c:pt idx="203">
                  <c:v>393</c:v>
                </c:pt>
                <c:pt idx="204">
                  <c:v>611</c:v>
                </c:pt>
                <c:pt idx="205">
                  <c:v>414</c:v>
                </c:pt>
                <c:pt idx="206">
                  <c:v>464</c:v>
                </c:pt>
                <c:pt idx="207">
                  <c:v>580</c:v>
                </c:pt>
                <c:pt idx="208">
                  <c:v>593</c:v>
                </c:pt>
                <c:pt idx="209">
                  <c:v>485</c:v>
                </c:pt>
                <c:pt idx="210">
                  <c:v>731</c:v>
                </c:pt>
                <c:pt idx="211">
                  <c:v>568</c:v>
                </c:pt>
                <c:pt idx="212">
                  <c:v>890</c:v>
                </c:pt>
                <c:pt idx="213">
                  <c:v>523</c:v>
                </c:pt>
                <c:pt idx="214">
                  <c:v>469</c:v>
                </c:pt>
                <c:pt idx="215">
                  <c:v>452</c:v>
                </c:pt>
                <c:pt idx="216">
                  <c:v>385</c:v>
                </c:pt>
                <c:pt idx="217">
                  <c:v>526</c:v>
                </c:pt>
                <c:pt idx="218">
                  <c:v>808</c:v>
                </c:pt>
                <c:pt idx="219">
                  <c:v>414</c:v>
                </c:pt>
                <c:pt idx="220">
                  <c:v>385</c:v>
                </c:pt>
                <c:pt idx="221">
                  <c:v>547</c:v>
                </c:pt>
                <c:pt idx="222">
                  <c:v>318</c:v>
                </c:pt>
                <c:pt idx="223">
                  <c:v>238</c:v>
                </c:pt>
                <c:pt idx="224">
                  <c:v>460</c:v>
                </c:pt>
                <c:pt idx="225">
                  <c:v>574</c:v>
                </c:pt>
                <c:pt idx="226">
                  <c:v>480</c:v>
                </c:pt>
                <c:pt idx="227">
                  <c:v>334</c:v>
                </c:pt>
                <c:pt idx="228">
                  <c:v>466</c:v>
                </c:pt>
                <c:pt idx="229">
                  <c:v>591</c:v>
                </c:pt>
                <c:pt idx="230">
                  <c:v>349</c:v>
                </c:pt>
                <c:pt idx="231">
                  <c:v>519</c:v>
                </c:pt>
                <c:pt idx="232">
                  <c:v>451</c:v>
                </c:pt>
                <c:pt idx="233">
                  <c:v>433</c:v>
                </c:pt>
                <c:pt idx="234">
                  <c:v>875</c:v>
                </c:pt>
                <c:pt idx="235">
                  <c:v>528</c:v>
                </c:pt>
                <c:pt idx="236">
                  <c:v>332</c:v>
                </c:pt>
                <c:pt idx="237">
                  <c:v>435</c:v>
                </c:pt>
                <c:pt idx="238">
                  <c:v>651</c:v>
                </c:pt>
                <c:pt idx="239">
                  <c:v>387</c:v>
                </c:pt>
                <c:pt idx="240">
                  <c:v>438</c:v>
                </c:pt>
                <c:pt idx="241">
                  <c:v>563</c:v>
                </c:pt>
                <c:pt idx="242">
                  <c:v>502</c:v>
                </c:pt>
                <c:pt idx="243">
                  <c:v>553</c:v>
                </c:pt>
                <c:pt idx="244">
                  <c:v>407</c:v>
                </c:pt>
                <c:pt idx="245">
                  <c:v>412</c:v>
                </c:pt>
                <c:pt idx="246">
                  <c:v>491</c:v>
                </c:pt>
                <c:pt idx="247">
                  <c:v>537</c:v>
                </c:pt>
                <c:pt idx="248">
                  <c:v>387</c:v>
                </c:pt>
                <c:pt idx="249">
                  <c:v>594</c:v>
                </c:pt>
                <c:pt idx="250">
                  <c:v>722</c:v>
                </c:pt>
                <c:pt idx="251">
                  <c:v>407</c:v>
                </c:pt>
                <c:pt idx="252">
                  <c:v>604</c:v>
                </c:pt>
                <c:pt idx="253">
                  <c:v>200</c:v>
                </c:pt>
                <c:pt idx="254">
                  <c:v>582</c:v>
                </c:pt>
                <c:pt idx="255">
                  <c:v>519</c:v>
                </c:pt>
                <c:pt idx="256">
                  <c:v>549</c:v>
                </c:pt>
                <c:pt idx="257">
                  <c:v>695</c:v>
                </c:pt>
                <c:pt idx="258">
                  <c:v>328</c:v>
                </c:pt>
                <c:pt idx="259">
                  <c:v>619</c:v>
                </c:pt>
                <c:pt idx="260">
                  <c:v>727</c:v>
                </c:pt>
                <c:pt idx="261">
                  <c:v>315</c:v>
                </c:pt>
                <c:pt idx="262">
                  <c:v>287</c:v>
                </c:pt>
                <c:pt idx="263">
                  <c:v>615</c:v>
                </c:pt>
                <c:pt idx="264">
                  <c:v>453</c:v>
                </c:pt>
                <c:pt idx="265">
                  <c:v>589</c:v>
                </c:pt>
                <c:pt idx="266">
                  <c:v>369</c:v>
                </c:pt>
                <c:pt idx="267">
                  <c:v>435</c:v>
                </c:pt>
                <c:pt idx="268">
                  <c:v>380</c:v>
                </c:pt>
                <c:pt idx="269">
                  <c:v>476</c:v>
                </c:pt>
                <c:pt idx="270">
                  <c:v>453</c:v>
                </c:pt>
                <c:pt idx="271">
                  <c:v>482</c:v>
                </c:pt>
                <c:pt idx="272">
                  <c:v>122</c:v>
                </c:pt>
                <c:pt idx="273">
                  <c:v>579</c:v>
                </c:pt>
                <c:pt idx="274">
                  <c:v>626</c:v>
                </c:pt>
                <c:pt idx="275">
                  <c:v>434</c:v>
                </c:pt>
                <c:pt idx="276">
                  <c:v>570</c:v>
                </c:pt>
                <c:pt idx="277">
                  <c:v>532</c:v>
                </c:pt>
                <c:pt idx="278">
                  <c:v>181</c:v>
                </c:pt>
                <c:pt idx="279">
                  <c:v>736</c:v>
                </c:pt>
                <c:pt idx="280">
                  <c:v>473</c:v>
                </c:pt>
                <c:pt idx="281">
                  <c:v>281</c:v>
                </c:pt>
                <c:pt idx="282">
                  <c:v>647</c:v>
                </c:pt>
                <c:pt idx="283">
                  <c:v>408</c:v>
                </c:pt>
                <c:pt idx="284">
                  <c:v>578</c:v>
                </c:pt>
                <c:pt idx="285">
                  <c:v>308</c:v>
                </c:pt>
                <c:pt idx="286">
                  <c:v>309</c:v>
                </c:pt>
                <c:pt idx="287">
                  <c:v>485</c:v>
                </c:pt>
                <c:pt idx="288">
                  <c:v>459</c:v>
                </c:pt>
                <c:pt idx="289">
                  <c:v>681</c:v>
                </c:pt>
                <c:pt idx="290">
                  <c:v>665</c:v>
                </c:pt>
                <c:pt idx="291">
                  <c:v>389</c:v>
                </c:pt>
                <c:pt idx="292">
                  <c:v>800</c:v>
                </c:pt>
                <c:pt idx="293">
                  <c:v>489</c:v>
                </c:pt>
                <c:pt idx="294">
                  <c:v>312</c:v>
                </c:pt>
                <c:pt idx="295">
                  <c:v>595</c:v>
                </c:pt>
                <c:pt idx="296">
                  <c:v>635</c:v>
                </c:pt>
                <c:pt idx="297">
                  <c:v>637</c:v>
                </c:pt>
                <c:pt idx="298">
                  <c:v>537</c:v>
                </c:pt>
                <c:pt idx="299">
                  <c:v>687</c:v>
                </c:pt>
                <c:pt idx="300">
                  <c:v>436</c:v>
                </c:pt>
                <c:pt idx="301">
                  <c:v>460</c:v>
                </c:pt>
                <c:pt idx="302">
                  <c:v>191</c:v>
                </c:pt>
                <c:pt idx="303">
                  <c:v>523</c:v>
                </c:pt>
                <c:pt idx="304">
                  <c:v>667</c:v>
                </c:pt>
                <c:pt idx="305">
                  <c:v>294</c:v>
                </c:pt>
                <c:pt idx="306">
                  <c:v>429</c:v>
                </c:pt>
                <c:pt idx="307">
                  <c:v>767</c:v>
                </c:pt>
                <c:pt idx="308">
                  <c:v>318</c:v>
                </c:pt>
                <c:pt idx="309">
                  <c:v>414</c:v>
                </c:pt>
                <c:pt idx="310">
                  <c:v>644</c:v>
                </c:pt>
                <c:pt idx="311">
                  <c:v>545</c:v>
                </c:pt>
                <c:pt idx="312">
                  <c:v>435</c:v>
                </c:pt>
                <c:pt idx="313">
                  <c:v>441</c:v>
                </c:pt>
                <c:pt idx="314">
                  <c:v>392</c:v>
                </c:pt>
                <c:pt idx="315">
                  <c:v>347</c:v>
                </c:pt>
                <c:pt idx="316">
                  <c:v>362</c:v>
                </c:pt>
                <c:pt idx="317">
                  <c:v>325</c:v>
                </c:pt>
                <c:pt idx="318">
                  <c:v>537</c:v>
                </c:pt>
                <c:pt idx="319">
                  <c:v>469</c:v>
                </c:pt>
                <c:pt idx="320">
                  <c:v>389</c:v>
                </c:pt>
                <c:pt idx="321">
                  <c:v>349</c:v>
                </c:pt>
                <c:pt idx="322">
                  <c:v>286</c:v>
                </c:pt>
                <c:pt idx="323">
                  <c:v>544</c:v>
                </c:pt>
                <c:pt idx="324">
                  <c:v>417</c:v>
                </c:pt>
                <c:pt idx="325">
                  <c:v>378</c:v>
                </c:pt>
                <c:pt idx="326">
                  <c:v>541</c:v>
                </c:pt>
                <c:pt idx="327">
                  <c:v>638</c:v>
                </c:pt>
                <c:pt idx="328">
                  <c:v>430</c:v>
                </c:pt>
                <c:pt idx="329">
                  <c:v>705</c:v>
                </c:pt>
                <c:pt idx="330">
                  <c:v>682</c:v>
                </c:pt>
                <c:pt idx="331">
                  <c:v>579</c:v>
                </c:pt>
                <c:pt idx="332">
                  <c:v>717</c:v>
                </c:pt>
                <c:pt idx="333">
                  <c:v>626</c:v>
                </c:pt>
                <c:pt idx="334">
                  <c:v>385</c:v>
                </c:pt>
                <c:pt idx="335">
                  <c:v>394</c:v>
                </c:pt>
                <c:pt idx="336">
                  <c:v>642</c:v>
                </c:pt>
                <c:pt idx="337">
                  <c:v>750</c:v>
                </c:pt>
                <c:pt idx="338">
                  <c:v>605</c:v>
                </c:pt>
                <c:pt idx="339">
                  <c:v>564</c:v>
                </c:pt>
                <c:pt idx="340">
                  <c:v>672</c:v>
                </c:pt>
                <c:pt idx="341">
                  <c:v>759</c:v>
                </c:pt>
                <c:pt idx="342">
                  <c:v>507</c:v>
                </c:pt>
                <c:pt idx="343">
                  <c:v>468</c:v>
                </c:pt>
                <c:pt idx="344">
                  <c:v>349</c:v>
                </c:pt>
                <c:pt idx="345">
                  <c:v>624</c:v>
                </c:pt>
                <c:pt idx="346">
                  <c:v>468</c:v>
                </c:pt>
                <c:pt idx="347">
                  <c:v>358</c:v>
                </c:pt>
                <c:pt idx="348">
                  <c:v>605</c:v>
                </c:pt>
                <c:pt idx="349">
                  <c:v>254</c:v>
                </c:pt>
                <c:pt idx="350">
                  <c:v>482</c:v>
                </c:pt>
                <c:pt idx="351">
                  <c:v>284</c:v>
                </c:pt>
                <c:pt idx="352">
                  <c:v>413</c:v>
                </c:pt>
                <c:pt idx="353">
                  <c:v>507</c:v>
                </c:pt>
                <c:pt idx="354">
                  <c:v>590</c:v>
                </c:pt>
                <c:pt idx="355">
                  <c:v>614</c:v>
                </c:pt>
                <c:pt idx="356">
                  <c:v>263</c:v>
                </c:pt>
                <c:pt idx="357">
                  <c:v>501</c:v>
                </c:pt>
                <c:pt idx="358">
                  <c:v>692</c:v>
                </c:pt>
                <c:pt idx="359">
                  <c:v>450</c:v>
                </c:pt>
                <c:pt idx="360">
                  <c:v>646</c:v>
                </c:pt>
                <c:pt idx="361">
                  <c:v>584</c:v>
                </c:pt>
                <c:pt idx="362">
                  <c:v>415</c:v>
                </c:pt>
                <c:pt idx="363">
                  <c:v>635</c:v>
                </c:pt>
                <c:pt idx="364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A3-43BF-985E-95F348B066B2}"/>
            </c:ext>
          </c:extLst>
        </c:ser>
        <c:ser>
          <c:idx val="2"/>
          <c:order val="2"/>
          <c:tx>
            <c:strRef>
              <c:f>'Calculation Sheet'!$AA$8</c:f>
              <c:strCache>
                <c:ptCount val="1"/>
                <c:pt idx="0">
                  <c:v>Re-Order Line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'Calculation Sheet'!$AA$9:$AA$373</c:f>
              <c:numCache>
                <c:formatCode>General</c:formatCode>
                <c:ptCount val="36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A3-43BF-985E-95F348B06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5673711"/>
        <c:axId val="1695670831"/>
      </c:lineChart>
      <c:catAx>
        <c:axId val="16956737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Day of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0831"/>
        <c:crosses val="autoZero"/>
        <c:auto val="1"/>
        <c:lblAlgn val="ctr"/>
        <c:lblOffset val="100"/>
        <c:tickLblSkip val="21"/>
        <c:noMultiLvlLbl val="0"/>
      </c:catAx>
      <c:valAx>
        <c:axId val="169567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Product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3711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checked="Checked" fmlaLink="'Calculation Sheet'!$D$9" lockText="1" noThreeD="1"/>
</file>

<file path=xl/ctrlProps/ctrlProp3.xml><?xml version="1.0" encoding="utf-8"?>
<formControlPr xmlns="http://schemas.microsoft.com/office/spreadsheetml/2009/9/main" objectType="CheckBox" checked="Checked" fmlaLink="'Calculation Sheet'!$D$10" lockText="1" noThreeD="1"/>
</file>

<file path=xl/ctrlProps/ctrlProp4.xml><?xml version="1.0" encoding="utf-8"?>
<formControlPr xmlns="http://schemas.microsoft.com/office/spreadsheetml/2009/9/main" objectType="CheckBox" checked="Checked" fmlaLink="'Calculation Sheet'!$D$1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pin" dx="22" fmlaLink="$E$11" inc="50" max="25000" noThreeD="1" page="10" val="200"/>
</file>

<file path=xl/ctrlProps/ctrlProp10.xml><?xml version="1.0" encoding="utf-8"?>
<formControlPr xmlns="http://schemas.microsoft.com/office/spreadsheetml/2009/9/main" objectType="Spin" dx="22" fmlaLink="$E$14" inc="500" max="25000" noThreeD="1" page="10" val="50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28575</xdr:rowOff>
    </xdr:from>
    <xdr:to>
      <xdr:col>5</xdr:col>
      <xdr:colOff>581025</xdr:colOff>
      <xdr:row>5</xdr:row>
      <xdr:rowOff>171450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228600"/>
          <a:ext cx="2981324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0</xdr:rowOff>
        </xdr:from>
        <xdr:to>
          <xdr:col>5</xdr:col>
          <xdr:colOff>9525</xdr:colOff>
          <xdr:row>19</xdr:row>
          <xdr:rowOff>161925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85725" y="3019425"/>
              <a:ext cx="2419350" cy="742950"/>
              <a:chOff x="209550" y="3305173"/>
              <a:chExt cx="2419350" cy="733425"/>
            </a:xfrm>
          </xdr:grpSpPr>
          <xdr:sp macro="" textlink="">
            <xdr:nvSpPr>
              <xdr:cNvPr id="3076" name="Group Box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000-0000040C0000}"/>
                  </a:ext>
                </a:extLst>
              </xdr:cNvPr>
              <xdr:cNvSpPr/>
            </xdr:nvSpPr>
            <xdr:spPr bwMode="auto">
              <a:xfrm>
                <a:off x="209550" y="3305173"/>
                <a:ext cx="2419350" cy="733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Chart Controls</a:t>
                </a:r>
              </a:p>
            </xdr:txBody>
          </xdr:sp>
          <xdr:sp macro="" textlink="">
            <xdr:nvSpPr>
              <xdr:cNvPr id="3077" name="Check Box 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000-0000050C0000}"/>
                  </a:ext>
                </a:extLst>
              </xdr:cNvPr>
              <xdr:cNvSpPr/>
            </xdr:nvSpPr>
            <xdr:spPr bwMode="auto">
              <a:xfrm>
                <a:off x="1514475" y="3486150"/>
                <a:ext cx="9144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Daily Demand</a:t>
                </a:r>
              </a:p>
            </xdr:txBody>
          </xdr:sp>
          <xdr:sp macro="" textlink="">
            <xdr:nvSpPr>
              <xdr:cNvPr id="3078" name="Check Box 6" hidden="1">
                <a:extLst>
                  <a:ext uri="{63B3BB69-23CF-44E3-9099-C40C66FF867C}">
                    <a14:compatExt spid="_x0000_s3078"/>
                  </a:ext>
                  <a:ext uri="{FF2B5EF4-FFF2-40B4-BE49-F238E27FC236}">
                    <a16:creationId xmlns:a16="http://schemas.microsoft.com/office/drawing/2014/main" id="{00000000-0008-0000-0000-0000060C0000}"/>
                  </a:ext>
                </a:extLst>
              </xdr:cNvPr>
              <xdr:cNvSpPr/>
            </xdr:nvSpPr>
            <xdr:spPr bwMode="auto">
              <a:xfrm>
                <a:off x="1514475" y="3752850"/>
                <a:ext cx="9144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Ending Inventory</a:t>
                </a:r>
              </a:p>
            </xdr:txBody>
          </xdr:sp>
          <xdr:sp macro="" textlink="">
            <xdr:nvSpPr>
              <xdr:cNvPr id="3079" name="Check Box 7" hidden="1">
                <a:extLst>
                  <a:ext uri="{63B3BB69-23CF-44E3-9099-C40C66FF867C}">
                    <a14:compatExt spid="_x0000_s3079"/>
                  </a:ext>
                  <a:ext uri="{FF2B5EF4-FFF2-40B4-BE49-F238E27FC236}">
                    <a16:creationId xmlns:a16="http://schemas.microsoft.com/office/drawing/2014/main" id="{00000000-0008-0000-0000-0000070C0000}"/>
                  </a:ext>
                </a:extLst>
              </xdr:cNvPr>
              <xdr:cNvSpPr/>
            </xdr:nvSpPr>
            <xdr:spPr bwMode="auto">
              <a:xfrm>
                <a:off x="276225" y="3476869"/>
                <a:ext cx="9144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Re-Order Boundary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180974</xdr:colOff>
      <xdr:row>20</xdr:row>
      <xdr:rowOff>42862</xdr:rowOff>
    </xdr:from>
    <xdr:to>
      <xdr:col>17</xdr:col>
      <xdr:colOff>600074</xdr:colOff>
      <xdr:row>36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11</xdr:row>
          <xdr:rowOff>142875</xdr:rowOff>
        </xdr:from>
        <xdr:to>
          <xdr:col>9</xdr:col>
          <xdr:colOff>581025</xdr:colOff>
          <xdr:row>13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20Y7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13</xdr:row>
          <xdr:rowOff>142875</xdr:rowOff>
        </xdr:from>
        <xdr:to>
          <xdr:col>9</xdr:col>
          <xdr:colOff>581025</xdr:colOff>
          <xdr:row>15</xdr:row>
          <xdr:rowOff>123825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20Y8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15</xdr:row>
          <xdr:rowOff>142875</xdr:rowOff>
        </xdr:from>
        <xdr:to>
          <xdr:col>9</xdr:col>
          <xdr:colOff>581025</xdr:colOff>
          <xdr:row>17</xdr:row>
          <xdr:rowOff>133350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20Y9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17</xdr:row>
          <xdr:rowOff>152400</xdr:rowOff>
        </xdr:from>
        <xdr:to>
          <xdr:col>9</xdr:col>
          <xdr:colOff>581025</xdr:colOff>
          <xdr:row>19</xdr:row>
          <xdr:rowOff>171450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New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200025</xdr:colOff>
      <xdr:row>9</xdr:row>
      <xdr:rowOff>47625</xdr:rowOff>
    </xdr:from>
    <xdr:to>
      <xdr:col>9</xdr:col>
      <xdr:colOff>571500</xdr:colOff>
      <xdr:row>11</xdr:row>
      <xdr:rowOff>114301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038600" y="1809750"/>
          <a:ext cx="1590675" cy="466726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/>
            <a:t>Select a Dataset</a:t>
          </a:r>
          <a:r>
            <a:rPr lang="en-US" sz="1200" b="1" baseline="0"/>
            <a:t> </a:t>
          </a:r>
          <a:r>
            <a:rPr lang="en-US" sz="1200" b="1"/>
            <a:t>To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9</xdr:row>
          <xdr:rowOff>190500</xdr:rowOff>
        </xdr:from>
        <xdr:to>
          <xdr:col>6</xdr:col>
          <xdr:colOff>523875</xdr:colOff>
          <xdr:row>12</xdr:row>
          <xdr:rowOff>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12</xdr:row>
          <xdr:rowOff>190500</xdr:rowOff>
        </xdr:from>
        <xdr:to>
          <xdr:col>6</xdr:col>
          <xdr:colOff>523875</xdr:colOff>
          <xdr:row>15</xdr:row>
          <xdr:rowOff>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28575</xdr:rowOff>
    </xdr:from>
    <xdr:to>
      <xdr:col>5</xdr:col>
      <xdr:colOff>561975</xdr:colOff>
      <xdr:row>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228600"/>
          <a:ext cx="3076574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28575</xdr:rowOff>
    </xdr:from>
    <xdr:to>
      <xdr:col>4</xdr:col>
      <xdr:colOff>590550</xdr:colOff>
      <xdr:row>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228600"/>
          <a:ext cx="2381249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28575</xdr:rowOff>
    </xdr:from>
    <xdr:to>
      <xdr:col>5</xdr:col>
      <xdr:colOff>581025</xdr:colOff>
      <xdr:row>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228600"/>
          <a:ext cx="2981324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7</xdr:row>
      <xdr:rowOff>19050</xdr:rowOff>
    </xdr:from>
    <xdr:to>
      <xdr:col>18</xdr:col>
      <xdr:colOff>590550</xdr:colOff>
      <xdr:row>35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9" y="1381125"/>
          <a:ext cx="10925176" cy="55054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2CD03A-85B1-44E0-951D-C64D72EE0272}" autoFormatId="16" applyNumberFormats="0" applyBorderFormats="0" applyFontFormats="0" applyPatternFormats="0" applyAlignmentFormats="0" applyWidthHeightFormats="0">
  <queryTableRefresh nextId="5">
    <queryTableFields count="4">
      <queryTableField id="1" name="Day" tableColumnId="1"/>
      <queryTableField id="2" name="20Y7 Demand" tableColumnId="2"/>
      <queryTableField id="3" name="20Y8 Demand" tableColumnId="3"/>
      <queryTableField id="4" name="20Y9 Dema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CBD0A1-34E1-407B-B8F0-2BD95BF3C8CB}" name="Delta_Distributors_Data" displayName="Delta_Distributors_Data" ref="A1:D366" tableType="queryTable" totalsRowShown="0">
  <autoFilter ref="A1:D366" xr:uid="{84CBD0A1-34E1-407B-B8F0-2BD95BF3C8CB}"/>
  <tableColumns count="4">
    <tableColumn id="1" xr3:uid="{109CD744-D3A0-4349-854F-729F84EE80EC}" uniqueName="1" name="Day" queryTableFieldId="1"/>
    <tableColumn id="2" xr3:uid="{E87F848E-A36D-4184-A359-DEF7740FA92C}" uniqueName="2" name="20Y7 Demand" queryTableFieldId="2"/>
    <tableColumn id="3" xr3:uid="{522181AF-4F28-43D8-89BD-EE375C151D6A}" uniqueName="3" name="20Y8 Demand" queryTableFieldId="3"/>
    <tableColumn id="4" xr3:uid="{334F10CE-21AE-4020-937A-4999C732CB1E}" uniqueName="4" name="20Y9 Demand" queryTableFieldId="4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CB10A-8F06-4EFD-80DE-DF2BA32C4A0D}">
  <sheetPr codeName="Sheet1"/>
  <dimension ref="B1:U372"/>
  <sheetViews>
    <sheetView showGridLines="0" tabSelected="1" zoomScaleNormal="100" workbookViewId="0">
      <selection activeCell="K15" sqref="K15:P15"/>
    </sheetView>
  </sheetViews>
  <sheetFormatPr defaultRowHeight="15" x14ac:dyDescent="0.25"/>
  <cols>
    <col min="1" max="1" width="0.85546875" customWidth="1"/>
    <col min="19" max="19" width="2.7109375" customWidth="1"/>
  </cols>
  <sheetData>
    <row r="1" spans="2:21" ht="5.0999999999999996" customHeight="1" thickBot="1" x14ac:dyDescent="0.3"/>
    <row r="2" spans="2:21" ht="15" customHeight="1" x14ac:dyDescent="0.25">
      <c r="B2" s="74"/>
      <c r="C2" s="75"/>
      <c r="D2" s="75"/>
      <c r="E2" s="75"/>
      <c r="F2" s="76"/>
      <c r="G2" s="59" t="s">
        <v>4</v>
      </c>
      <c r="H2" s="60"/>
      <c r="I2" s="60"/>
      <c r="J2" s="60"/>
      <c r="K2" s="60"/>
      <c r="L2" s="60"/>
      <c r="M2" s="60"/>
      <c r="N2" s="60"/>
      <c r="O2" s="60"/>
      <c r="P2" s="60"/>
      <c r="Q2" s="60"/>
      <c r="R2" s="61"/>
    </row>
    <row r="3" spans="2:21" x14ac:dyDescent="0.25">
      <c r="B3" s="77"/>
      <c r="C3" s="78"/>
      <c r="D3" s="78"/>
      <c r="E3" s="78"/>
      <c r="F3" s="79"/>
      <c r="G3" s="62"/>
      <c r="H3" s="63"/>
      <c r="I3" s="63"/>
      <c r="J3" s="63"/>
      <c r="K3" s="63"/>
      <c r="L3" s="63"/>
      <c r="M3" s="63"/>
      <c r="N3" s="63"/>
      <c r="O3" s="63"/>
      <c r="P3" s="63"/>
      <c r="Q3" s="63"/>
      <c r="R3" s="64"/>
    </row>
    <row r="4" spans="2:21" ht="15.75" thickBot="1" x14ac:dyDescent="0.3">
      <c r="B4" s="77"/>
      <c r="C4" s="78"/>
      <c r="D4" s="78"/>
      <c r="E4" s="78"/>
      <c r="F4" s="79"/>
      <c r="G4" s="62"/>
      <c r="H4" s="63"/>
      <c r="I4" s="63"/>
      <c r="J4" s="63"/>
      <c r="K4" s="63"/>
      <c r="L4" s="63"/>
      <c r="M4" s="63"/>
      <c r="N4" s="63"/>
      <c r="O4" s="63"/>
      <c r="P4" s="63"/>
      <c r="Q4" s="63"/>
      <c r="R4" s="64"/>
    </row>
    <row r="5" spans="2:21" x14ac:dyDescent="0.25">
      <c r="B5" s="77"/>
      <c r="C5" s="78"/>
      <c r="D5" s="78"/>
      <c r="E5" s="78"/>
      <c r="F5" s="79"/>
      <c r="G5" s="62"/>
      <c r="H5" s="63"/>
      <c r="I5" s="63"/>
      <c r="J5" s="63"/>
      <c r="K5" s="63"/>
      <c r="L5" s="63"/>
      <c r="M5" s="63"/>
      <c r="N5" s="63"/>
      <c r="O5" s="63"/>
      <c r="P5" s="63"/>
      <c r="Q5" s="63"/>
      <c r="R5" s="64"/>
      <c r="T5" s="55" t="s">
        <v>17</v>
      </c>
      <c r="U5" s="56"/>
    </row>
    <row r="6" spans="2:21" ht="15.75" thickBot="1" x14ac:dyDescent="0.3">
      <c r="B6" s="80"/>
      <c r="C6" s="81"/>
      <c r="D6" s="81"/>
      <c r="E6" s="81"/>
      <c r="F6" s="82"/>
      <c r="G6" s="65"/>
      <c r="H6" s="66"/>
      <c r="I6" s="66"/>
      <c r="J6" s="66"/>
      <c r="K6" s="66"/>
      <c r="L6" s="66"/>
      <c r="M6" s="66"/>
      <c r="N6" s="66"/>
      <c r="O6" s="66"/>
      <c r="P6" s="66"/>
      <c r="Q6" s="66"/>
      <c r="R6" s="67"/>
      <c r="T6" s="57"/>
      <c r="U6" s="58"/>
    </row>
    <row r="7" spans="2:21" ht="15.75" thickBot="1" x14ac:dyDescent="0.3">
      <c r="T7" s="50" t="s">
        <v>0</v>
      </c>
      <c r="U7" s="50" t="s">
        <v>16</v>
      </c>
    </row>
    <row r="8" spans="2:21" ht="15" customHeight="1" x14ac:dyDescent="0.25">
      <c r="B8" s="68" t="s">
        <v>14</v>
      </c>
      <c r="C8" s="69"/>
      <c r="D8" s="69"/>
      <c r="E8" s="69"/>
      <c r="F8" s="69"/>
      <c r="G8" s="69"/>
      <c r="H8" s="69"/>
      <c r="I8" s="69"/>
      <c r="J8" s="70"/>
      <c r="K8" s="68" t="s">
        <v>15</v>
      </c>
      <c r="L8" s="69"/>
      <c r="M8" s="69"/>
      <c r="N8" s="69"/>
      <c r="O8" s="69"/>
      <c r="P8" s="69"/>
      <c r="Q8" s="69"/>
      <c r="R8" s="70"/>
      <c r="T8" s="1">
        <v>1</v>
      </c>
      <c r="U8" s="3">
        <v>493</v>
      </c>
    </row>
    <row r="9" spans="2:21" ht="15.75" customHeight="1" thickBot="1" x14ac:dyDescent="0.3">
      <c r="B9" s="71"/>
      <c r="C9" s="72"/>
      <c r="D9" s="72"/>
      <c r="E9" s="72"/>
      <c r="F9" s="72"/>
      <c r="G9" s="72"/>
      <c r="H9" s="72"/>
      <c r="I9" s="72"/>
      <c r="J9" s="73"/>
      <c r="K9" s="71"/>
      <c r="L9" s="72"/>
      <c r="M9" s="72"/>
      <c r="N9" s="72"/>
      <c r="O9" s="72"/>
      <c r="P9" s="72"/>
      <c r="Q9" s="72"/>
      <c r="R9" s="73"/>
      <c r="T9" s="4">
        <v>2</v>
      </c>
      <c r="U9" s="6">
        <v>540</v>
      </c>
    </row>
    <row r="10" spans="2:21" ht="15.75" thickBot="1" x14ac:dyDescent="0.3">
      <c r="B10" s="21"/>
      <c r="C10" s="22"/>
      <c r="D10" s="22"/>
      <c r="E10" s="22"/>
      <c r="F10" s="22"/>
      <c r="G10" s="22"/>
      <c r="H10" s="22"/>
      <c r="I10" s="22"/>
      <c r="J10" s="23"/>
      <c r="K10" s="22"/>
      <c r="L10" s="22"/>
      <c r="M10" s="22"/>
      <c r="N10" s="22"/>
      <c r="O10" s="22"/>
      <c r="P10" s="22"/>
      <c r="Q10" s="22"/>
      <c r="R10" s="23"/>
      <c r="T10" s="4">
        <v>3</v>
      </c>
      <c r="U10" s="6">
        <v>345</v>
      </c>
    </row>
    <row r="11" spans="2:21" ht="15.75" thickBot="1" x14ac:dyDescent="0.3">
      <c r="B11" s="24"/>
      <c r="C11" s="83" t="s">
        <v>8</v>
      </c>
      <c r="D11" s="83"/>
      <c r="E11" s="84">
        <v>200</v>
      </c>
      <c r="F11" s="84"/>
      <c r="G11" s="25"/>
      <c r="H11" s="25"/>
      <c r="I11" s="25"/>
      <c r="J11" s="26"/>
      <c r="K11" s="51" t="s">
        <v>18</v>
      </c>
      <c r="L11" s="51"/>
      <c r="M11" s="51"/>
      <c r="N11" s="51"/>
      <c r="O11" s="51"/>
      <c r="P11" s="51"/>
      <c r="Q11" s="52">
        <f>'Calculation Sheet'!L10</f>
        <v>67339.8082191781</v>
      </c>
      <c r="R11" s="53"/>
      <c r="T11" s="4">
        <v>4</v>
      </c>
      <c r="U11" s="6">
        <v>556</v>
      </c>
    </row>
    <row r="12" spans="2:21" ht="15.75" thickBot="1" x14ac:dyDescent="0.3">
      <c r="B12" s="24"/>
      <c r="C12" s="83"/>
      <c r="D12" s="83"/>
      <c r="E12" s="84"/>
      <c r="F12" s="84"/>
      <c r="G12" s="25"/>
      <c r="H12" s="25"/>
      <c r="I12" s="25"/>
      <c r="J12" s="26"/>
      <c r="K12" s="31"/>
      <c r="L12" s="31"/>
      <c r="M12" s="31"/>
      <c r="N12" s="31"/>
      <c r="O12" s="31"/>
      <c r="P12" s="31"/>
      <c r="Q12" s="25"/>
      <c r="R12" s="26"/>
      <c r="T12" s="4">
        <v>5</v>
      </c>
      <c r="U12" s="6">
        <v>474</v>
      </c>
    </row>
    <row r="13" spans="2:21" ht="15.75" thickBot="1" x14ac:dyDescent="0.3">
      <c r="B13" s="24"/>
      <c r="C13" s="32"/>
      <c r="D13" s="25"/>
      <c r="E13" s="25"/>
      <c r="F13" s="25"/>
      <c r="G13" s="25"/>
      <c r="H13" s="25"/>
      <c r="I13" s="25"/>
      <c r="J13" s="26"/>
      <c r="K13" s="51" t="s">
        <v>19</v>
      </c>
      <c r="L13" s="51"/>
      <c r="M13" s="51"/>
      <c r="N13" s="51"/>
      <c r="O13" s="51"/>
      <c r="P13" s="51"/>
      <c r="Q13" s="52">
        <f>'Calculation Sheet'!L12</f>
        <v>6300</v>
      </c>
      <c r="R13" s="53"/>
      <c r="T13" s="4">
        <v>6</v>
      </c>
      <c r="U13" s="6">
        <v>416</v>
      </c>
    </row>
    <row r="14" spans="2:21" ht="15.75" thickBot="1" x14ac:dyDescent="0.3">
      <c r="B14" s="24"/>
      <c r="C14" s="83" t="s">
        <v>9</v>
      </c>
      <c r="D14" s="83"/>
      <c r="E14" s="84">
        <v>5000</v>
      </c>
      <c r="F14" s="84"/>
      <c r="G14" s="25"/>
      <c r="H14" s="25"/>
      <c r="I14" s="25"/>
      <c r="J14" s="26"/>
      <c r="K14" s="31"/>
      <c r="L14" s="31"/>
      <c r="M14" s="31"/>
      <c r="N14" s="31"/>
      <c r="O14" s="31"/>
      <c r="P14" s="31"/>
      <c r="Q14" s="25"/>
      <c r="R14" s="26"/>
      <c r="T14" s="4">
        <v>7</v>
      </c>
      <c r="U14" s="6">
        <v>295</v>
      </c>
    </row>
    <row r="15" spans="2:21" ht="15.75" thickBot="1" x14ac:dyDescent="0.3">
      <c r="B15" s="24"/>
      <c r="C15" s="83"/>
      <c r="D15" s="83"/>
      <c r="E15" s="84"/>
      <c r="F15" s="84"/>
      <c r="G15" s="25"/>
      <c r="H15" s="25"/>
      <c r="I15" s="25"/>
      <c r="J15" s="26"/>
      <c r="K15" s="51" t="s">
        <v>20</v>
      </c>
      <c r="L15" s="51"/>
      <c r="M15" s="51"/>
      <c r="N15" s="51"/>
      <c r="O15" s="51"/>
      <c r="P15" s="51"/>
      <c r="Q15" s="52">
        <f>'Calculation Sheet'!L14</f>
        <v>73639.8082191781</v>
      </c>
      <c r="R15" s="53"/>
      <c r="T15" s="4">
        <v>8</v>
      </c>
      <c r="U15" s="6">
        <v>324</v>
      </c>
    </row>
    <row r="16" spans="2:21" ht="15.75" thickBot="1" x14ac:dyDescent="0.3">
      <c r="B16" s="24"/>
      <c r="C16" s="32"/>
      <c r="D16" s="25"/>
      <c r="E16" s="25"/>
      <c r="F16" s="25"/>
      <c r="G16" s="25"/>
      <c r="H16" s="25"/>
      <c r="I16" s="25"/>
      <c r="J16" s="26"/>
      <c r="K16" s="31"/>
      <c r="L16" s="31"/>
      <c r="M16" s="31"/>
      <c r="N16" s="31"/>
      <c r="O16" s="31"/>
      <c r="P16" s="31"/>
      <c r="Q16" s="25"/>
      <c r="R16" s="26"/>
      <c r="T16" s="4">
        <v>9</v>
      </c>
      <c r="U16" s="6">
        <v>610</v>
      </c>
    </row>
    <row r="17" spans="2:21" ht="15.75" thickBot="1" x14ac:dyDescent="0.3">
      <c r="B17" s="24"/>
      <c r="C17" s="25"/>
      <c r="D17" s="25"/>
      <c r="E17" s="25"/>
      <c r="F17" s="25"/>
      <c r="G17" s="25"/>
      <c r="H17" s="25"/>
      <c r="I17" s="25"/>
      <c r="J17" s="26"/>
      <c r="K17" s="51" t="s">
        <v>21</v>
      </c>
      <c r="L17" s="51"/>
      <c r="M17" s="51"/>
      <c r="N17" s="51"/>
      <c r="O17" s="51"/>
      <c r="P17" s="51"/>
      <c r="Q17" s="54">
        <f>IFERROR('Calculation Sheet'!L16,"")</f>
        <v>2.6555655320654098E-2</v>
      </c>
      <c r="R17" s="53"/>
      <c r="T17" s="4">
        <v>10</v>
      </c>
      <c r="U17" s="6">
        <v>548</v>
      </c>
    </row>
    <row r="18" spans="2:21" x14ac:dyDescent="0.25">
      <c r="B18" s="24"/>
      <c r="C18" s="25"/>
      <c r="D18" s="25"/>
      <c r="E18" s="25"/>
      <c r="F18" s="25"/>
      <c r="G18" s="25"/>
      <c r="H18" s="25"/>
      <c r="I18" s="25"/>
      <c r="J18" s="26"/>
      <c r="K18" s="25"/>
      <c r="L18" s="25"/>
      <c r="M18" s="25"/>
      <c r="N18" s="25"/>
      <c r="O18" s="25"/>
      <c r="P18" s="25"/>
      <c r="Q18" s="25"/>
      <c r="R18" s="26"/>
      <c r="T18" s="4">
        <v>11</v>
      </c>
      <c r="U18" s="6">
        <v>467</v>
      </c>
    </row>
    <row r="19" spans="2:21" x14ac:dyDescent="0.25">
      <c r="B19" s="24"/>
      <c r="C19" s="25"/>
      <c r="D19" s="25"/>
      <c r="E19" s="25"/>
      <c r="F19" s="25"/>
      <c r="G19" s="25"/>
      <c r="H19" s="25"/>
      <c r="I19" s="25"/>
      <c r="J19" s="26"/>
      <c r="K19" s="25"/>
      <c r="L19" s="25"/>
      <c r="M19" s="25"/>
      <c r="N19" s="25"/>
      <c r="O19" s="25"/>
      <c r="P19" s="25"/>
      <c r="Q19" s="25"/>
      <c r="R19" s="26"/>
      <c r="T19" s="4">
        <v>12</v>
      </c>
      <c r="U19" s="6">
        <v>729</v>
      </c>
    </row>
    <row r="20" spans="2:21" ht="15.75" thickBot="1" x14ac:dyDescent="0.3">
      <c r="B20" s="27"/>
      <c r="C20" s="28"/>
      <c r="D20" s="28"/>
      <c r="E20" s="28"/>
      <c r="F20" s="28"/>
      <c r="G20" s="28"/>
      <c r="H20" s="28"/>
      <c r="I20" s="28"/>
      <c r="J20" s="29"/>
      <c r="K20" s="28"/>
      <c r="L20" s="28"/>
      <c r="M20" s="28"/>
      <c r="N20" s="28"/>
      <c r="O20" s="28"/>
      <c r="P20" s="28"/>
      <c r="Q20" s="28"/>
      <c r="R20" s="29"/>
      <c r="T20" s="4">
        <v>13</v>
      </c>
      <c r="U20" s="6">
        <v>632</v>
      </c>
    </row>
    <row r="21" spans="2:21" x14ac:dyDescent="0.25">
      <c r="T21" s="4">
        <v>14</v>
      </c>
      <c r="U21" s="6">
        <v>542</v>
      </c>
    </row>
    <row r="22" spans="2:21" x14ac:dyDescent="0.25">
      <c r="T22" s="4">
        <v>15</v>
      </c>
      <c r="U22" s="6">
        <v>315</v>
      </c>
    </row>
    <row r="23" spans="2:21" x14ac:dyDescent="0.25">
      <c r="T23" s="4">
        <v>16</v>
      </c>
      <c r="U23" s="6">
        <v>516</v>
      </c>
    </row>
    <row r="24" spans="2:21" x14ac:dyDescent="0.25">
      <c r="T24" s="4">
        <v>17</v>
      </c>
      <c r="U24" s="6">
        <v>272</v>
      </c>
    </row>
    <row r="25" spans="2:21" x14ac:dyDescent="0.25">
      <c r="T25" s="4">
        <v>18</v>
      </c>
      <c r="U25" s="6">
        <v>478</v>
      </c>
    </row>
    <row r="26" spans="2:21" x14ac:dyDescent="0.25">
      <c r="T26" s="4">
        <v>19</v>
      </c>
      <c r="U26" s="6">
        <v>378</v>
      </c>
    </row>
    <row r="27" spans="2:21" x14ac:dyDescent="0.25">
      <c r="T27" s="4">
        <v>20</v>
      </c>
      <c r="U27" s="6">
        <v>342</v>
      </c>
    </row>
    <row r="28" spans="2:21" x14ac:dyDescent="0.25">
      <c r="T28" s="4">
        <v>21</v>
      </c>
      <c r="U28" s="6">
        <v>837</v>
      </c>
    </row>
    <row r="29" spans="2:21" x14ac:dyDescent="0.25">
      <c r="T29" s="4">
        <v>22</v>
      </c>
      <c r="U29" s="6">
        <v>338</v>
      </c>
    </row>
    <row r="30" spans="2:21" x14ac:dyDescent="0.25">
      <c r="T30" s="4">
        <v>23</v>
      </c>
      <c r="U30" s="6">
        <v>770</v>
      </c>
    </row>
    <row r="31" spans="2:21" x14ac:dyDescent="0.25">
      <c r="T31" s="4">
        <v>24</v>
      </c>
      <c r="U31" s="6">
        <v>654</v>
      </c>
    </row>
    <row r="32" spans="2:21" x14ac:dyDescent="0.25">
      <c r="T32" s="4">
        <v>25</v>
      </c>
      <c r="U32" s="6">
        <v>553</v>
      </c>
    </row>
    <row r="33" spans="20:21" x14ac:dyDescent="0.25">
      <c r="T33" s="4">
        <v>26</v>
      </c>
      <c r="U33" s="6">
        <v>563</v>
      </c>
    </row>
    <row r="34" spans="20:21" x14ac:dyDescent="0.25">
      <c r="T34" s="4">
        <v>27</v>
      </c>
      <c r="U34" s="6">
        <v>449</v>
      </c>
    </row>
    <row r="35" spans="20:21" x14ac:dyDescent="0.25">
      <c r="T35" s="4">
        <v>28</v>
      </c>
      <c r="U35" s="6">
        <v>712</v>
      </c>
    </row>
    <row r="36" spans="20:21" x14ac:dyDescent="0.25">
      <c r="T36" s="4">
        <v>29</v>
      </c>
      <c r="U36" s="6">
        <v>461</v>
      </c>
    </row>
    <row r="37" spans="20:21" x14ac:dyDescent="0.25">
      <c r="T37" s="4">
        <v>30</v>
      </c>
      <c r="U37" s="6">
        <v>511</v>
      </c>
    </row>
    <row r="38" spans="20:21" x14ac:dyDescent="0.25">
      <c r="T38" s="4">
        <v>31</v>
      </c>
      <c r="U38" s="6">
        <v>392</v>
      </c>
    </row>
    <row r="39" spans="20:21" x14ac:dyDescent="0.25">
      <c r="T39" s="4">
        <v>32</v>
      </c>
      <c r="U39" s="6">
        <v>634</v>
      </c>
    </row>
    <row r="40" spans="20:21" x14ac:dyDescent="0.25">
      <c r="T40" s="4">
        <v>33</v>
      </c>
      <c r="U40" s="6">
        <v>274</v>
      </c>
    </row>
    <row r="41" spans="20:21" x14ac:dyDescent="0.25">
      <c r="T41" s="4">
        <v>34</v>
      </c>
      <c r="U41" s="6">
        <v>438</v>
      </c>
    </row>
    <row r="42" spans="20:21" x14ac:dyDescent="0.25">
      <c r="T42" s="4">
        <v>35</v>
      </c>
      <c r="U42" s="6">
        <v>522</v>
      </c>
    </row>
    <row r="43" spans="20:21" x14ac:dyDescent="0.25">
      <c r="T43" s="4">
        <v>36</v>
      </c>
      <c r="U43" s="6">
        <v>675</v>
      </c>
    </row>
    <row r="44" spans="20:21" x14ac:dyDescent="0.25">
      <c r="T44" s="4">
        <v>37</v>
      </c>
      <c r="U44" s="6">
        <v>709</v>
      </c>
    </row>
    <row r="45" spans="20:21" x14ac:dyDescent="0.25">
      <c r="T45" s="4">
        <v>38</v>
      </c>
      <c r="U45" s="6">
        <v>773</v>
      </c>
    </row>
    <row r="46" spans="20:21" x14ac:dyDescent="0.25">
      <c r="T46" s="4">
        <v>39</v>
      </c>
      <c r="U46" s="6">
        <v>517</v>
      </c>
    </row>
    <row r="47" spans="20:21" x14ac:dyDescent="0.25">
      <c r="T47" s="4">
        <v>40</v>
      </c>
      <c r="U47" s="6">
        <v>243</v>
      </c>
    </row>
    <row r="48" spans="20:21" x14ac:dyDescent="0.25">
      <c r="T48" s="4">
        <v>41</v>
      </c>
      <c r="U48" s="6">
        <v>377</v>
      </c>
    </row>
    <row r="49" spans="20:21" x14ac:dyDescent="0.25">
      <c r="T49" s="4">
        <v>42</v>
      </c>
      <c r="U49" s="6">
        <v>734</v>
      </c>
    </row>
    <row r="50" spans="20:21" x14ac:dyDescent="0.25">
      <c r="T50" s="4">
        <v>43</v>
      </c>
      <c r="U50" s="6">
        <v>388</v>
      </c>
    </row>
    <row r="51" spans="20:21" x14ac:dyDescent="0.25">
      <c r="T51" s="4">
        <v>44</v>
      </c>
      <c r="U51" s="6">
        <v>492</v>
      </c>
    </row>
    <row r="52" spans="20:21" x14ac:dyDescent="0.25">
      <c r="T52" s="4">
        <v>45</v>
      </c>
      <c r="U52" s="6">
        <v>345</v>
      </c>
    </row>
    <row r="53" spans="20:21" x14ac:dyDescent="0.25">
      <c r="T53" s="4">
        <v>46</v>
      </c>
      <c r="U53" s="6">
        <v>476</v>
      </c>
    </row>
    <row r="54" spans="20:21" x14ac:dyDescent="0.25">
      <c r="T54" s="4">
        <v>47</v>
      </c>
      <c r="U54" s="6">
        <v>565</v>
      </c>
    </row>
    <row r="55" spans="20:21" x14ac:dyDescent="0.25">
      <c r="T55" s="4">
        <v>48</v>
      </c>
      <c r="U55" s="6">
        <v>595</v>
      </c>
    </row>
    <row r="56" spans="20:21" x14ac:dyDescent="0.25">
      <c r="T56" s="4">
        <v>49</v>
      </c>
      <c r="U56" s="6">
        <v>585</v>
      </c>
    </row>
    <row r="57" spans="20:21" x14ac:dyDescent="0.25">
      <c r="T57" s="4">
        <v>50</v>
      </c>
      <c r="U57" s="6">
        <v>181</v>
      </c>
    </row>
    <row r="58" spans="20:21" x14ac:dyDescent="0.25">
      <c r="T58" s="4">
        <v>51</v>
      </c>
      <c r="U58" s="6">
        <v>461</v>
      </c>
    </row>
    <row r="59" spans="20:21" x14ac:dyDescent="0.25">
      <c r="T59" s="4">
        <v>52</v>
      </c>
      <c r="U59" s="6">
        <v>581</v>
      </c>
    </row>
    <row r="60" spans="20:21" x14ac:dyDescent="0.25">
      <c r="T60" s="4">
        <v>53</v>
      </c>
      <c r="U60" s="6">
        <v>486</v>
      </c>
    </row>
    <row r="61" spans="20:21" x14ac:dyDescent="0.25">
      <c r="T61" s="4">
        <v>54</v>
      </c>
      <c r="U61" s="6">
        <v>516</v>
      </c>
    </row>
    <row r="62" spans="20:21" x14ac:dyDescent="0.25">
      <c r="T62" s="4">
        <v>55</v>
      </c>
      <c r="U62" s="6">
        <v>779</v>
      </c>
    </row>
    <row r="63" spans="20:21" x14ac:dyDescent="0.25">
      <c r="T63" s="4">
        <v>56</v>
      </c>
      <c r="U63" s="6">
        <v>753</v>
      </c>
    </row>
    <row r="64" spans="20:21" x14ac:dyDescent="0.25">
      <c r="T64" s="4">
        <v>57</v>
      </c>
      <c r="U64" s="6">
        <v>600</v>
      </c>
    </row>
    <row r="65" spans="20:21" x14ac:dyDescent="0.25">
      <c r="T65" s="4">
        <v>58</v>
      </c>
      <c r="U65" s="6">
        <v>484</v>
      </c>
    </row>
    <row r="66" spans="20:21" x14ac:dyDescent="0.25">
      <c r="T66" s="4">
        <v>59</v>
      </c>
      <c r="U66" s="6">
        <v>618</v>
      </c>
    </row>
    <row r="67" spans="20:21" x14ac:dyDescent="0.25">
      <c r="T67" s="4">
        <v>60</v>
      </c>
      <c r="U67" s="6">
        <v>772</v>
      </c>
    </row>
    <row r="68" spans="20:21" x14ac:dyDescent="0.25">
      <c r="T68" s="4">
        <v>61</v>
      </c>
      <c r="U68" s="6">
        <v>392</v>
      </c>
    </row>
    <row r="69" spans="20:21" x14ac:dyDescent="0.25">
      <c r="T69" s="4">
        <v>62</v>
      </c>
      <c r="U69" s="6">
        <v>361</v>
      </c>
    </row>
    <row r="70" spans="20:21" x14ac:dyDescent="0.25">
      <c r="T70" s="4">
        <v>63</v>
      </c>
      <c r="U70" s="6">
        <v>299</v>
      </c>
    </row>
    <row r="71" spans="20:21" x14ac:dyDescent="0.25">
      <c r="T71" s="4">
        <v>64</v>
      </c>
      <c r="U71" s="6">
        <v>432</v>
      </c>
    </row>
    <row r="72" spans="20:21" x14ac:dyDescent="0.25">
      <c r="T72" s="4">
        <v>65</v>
      </c>
      <c r="U72" s="6">
        <v>379</v>
      </c>
    </row>
    <row r="73" spans="20:21" x14ac:dyDescent="0.25">
      <c r="T73" s="4">
        <v>66</v>
      </c>
      <c r="U73" s="6">
        <v>554</v>
      </c>
    </row>
    <row r="74" spans="20:21" x14ac:dyDescent="0.25">
      <c r="T74" s="4">
        <v>67</v>
      </c>
      <c r="U74" s="6">
        <v>504</v>
      </c>
    </row>
    <row r="75" spans="20:21" x14ac:dyDescent="0.25">
      <c r="T75" s="4">
        <v>68</v>
      </c>
      <c r="U75" s="6">
        <v>454</v>
      </c>
    </row>
    <row r="76" spans="20:21" x14ac:dyDescent="0.25">
      <c r="T76" s="4">
        <v>69</v>
      </c>
      <c r="U76" s="6">
        <v>619</v>
      </c>
    </row>
    <row r="77" spans="20:21" x14ac:dyDescent="0.25">
      <c r="T77" s="4">
        <v>70</v>
      </c>
      <c r="U77" s="6">
        <v>454</v>
      </c>
    </row>
    <row r="78" spans="20:21" x14ac:dyDescent="0.25">
      <c r="T78" s="4">
        <v>71</v>
      </c>
      <c r="U78" s="6">
        <v>442</v>
      </c>
    </row>
    <row r="79" spans="20:21" x14ac:dyDescent="0.25">
      <c r="T79" s="4">
        <v>72</v>
      </c>
      <c r="U79" s="6">
        <v>458</v>
      </c>
    </row>
    <row r="80" spans="20:21" x14ac:dyDescent="0.25">
      <c r="T80" s="4">
        <v>73</v>
      </c>
      <c r="U80" s="6">
        <v>550</v>
      </c>
    </row>
    <row r="81" spans="20:21" x14ac:dyDescent="0.25">
      <c r="T81" s="4">
        <v>74</v>
      </c>
      <c r="U81" s="6">
        <v>569</v>
      </c>
    </row>
    <row r="82" spans="20:21" x14ac:dyDescent="0.25">
      <c r="T82" s="4">
        <v>75</v>
      </c>
      <c r="U82" s="6">
        <v>599</v>
      </c>
    </row>
    <row r="83" spans="20:21" x14ac:dyDescent="0.25">
      <c r="T83" s="4">
        <v>76</v>
      </c>
      <c r="U83" s="6">
        <v>582</v>
      </c>
    </row>
    <row r="84" spans="20:21" x14ac:dyDescent="0.25">
      <c r="T84" s="4">
        <v>77</v>
      </c>
      <c r="U84" s="6">
        <v>489</v>
      </c>
    </row>
    <row r="85" spans="20:21" x14ac:dyDescent="0.25">
      <c r="T85" s="4">
        <v>78</v>
      </c>
      <c r="U85" s="6">
        <v>758</v>
      </c>
    </row>
    <row r="86" spans="20:21" x14ac:dyDescent="0.25">
      <c r="T86" s="4">
        <v>79</v>
      </c>
      <c r="U86" s="6">
        <v>477</v>
      </c>
    </row>
    <row r="87" spans="20:21" x14ac:dyDescent="0.25">
      <c r="T87" s="4">
        <v>80</v>
      </c>
      <c r="U87" s="6">
        <v>706</v>
      </c>
    </row>
    <row r="88" spans="20:21" x14ac:dyDescent="0.25">
      <c r="T88" s="4">
        <v>81</v>
      </c>
      <c r="U88" s="6">
        <v>561</v>
      </c>
    </row>
    <row r="89" spans="20:21" x14ac:dyDescent="0.25">
      <c r="T89" s="4">
        <v>82</v>
      </c>
      <c r="U89" s="6">
        <v>658</v>
      </c>
    </row>
    <row r="90" spans="20:21" x14ac:dyDescent="0.25">
      <c r="T90" s="4">
        <v>83</v>
      </c>
      <c r="U90" s="6">
        <v>239</v>
      </c>
    </row>
    <row r="91" spans="20:21" x14ac:dyDescent="0.25">
      <c r="T91" s="4">
        <v>84</v>
      </c>
      <c r="U91" s="6">
        <v>515</v>
      </c>
    </row>
    <row r="92" spans="20:21" x14ac:dyDescent="0.25">
      <c r="T92" s="4">
        <v>85</v>
      </c>
      <c r="U92" s="6">
        <v>632</v>
      </c>
    </row>
    <row r="93" spans="20:21" x14ac:dyDescent="0.25">
      <c r="T93" s="4">
        <v>86</v>
      </c>
      <c r="U93" s="6">
        <v>716</v>
      </c>
    </row>
    <row r="94" spans="20:21" x14ac:dyDescent="0.25">
      <c r="T94" s="4">
        <v>87</v>
      </c>
      <c r="U94" s="6">
        <v>577</v>
      </c>
    </row>
    <row r="95" spans="20:21" x14ac:dyDescent="0.25">
      <c r="T95" s="4">
        <v>88</v>
      </c>
      <c r="U95" s="6">
        <v>483</v>
      </c>
    </row>
    <row r="96" spans="20:21" x14ac:dyDescent="0.25">
      <c r="T96" s="4">
        <v>89</v>
      </c>
      <c r="U96" s="6">
        <v>452</v>
      </c>
    </row>
    <row r="97" spans="20:21" x14ac:dyDescent="0.25">
      <c r="T97" s="4">
        <v>90</v>
      </c>
      <c r="U97" s="6">
        <v>508</v>
      </c>
    </row>
    <row r="98" spans="20:21" x14ac:dyDescent="0.25">
      <c r="T98" s="4">
        <v>91</v>
      </c>
      <c r="U98" s="6">
        <v>631</v>
      </c>
    </row>
    <row r="99" spans="20:21" x14ac:dyDescent="0.25">
      <c r="T99" s="4">
        <v>92</v>
      </c>
      <c r="U99" s="6">
        <v>326</v>
      </c>
    </row>
    <row r="100" spans="20:21" x14ac:dyDescent="0.25">
      <c r="T100" s="4">
        <v>93</v>
      </c>
      <c r="U100" s="6">
        <v>533</v>
      </c>
    </row>
    <row r="101" spans="20:21" x14ac:dyDescent="0.25">
      <c r="T101" s="4">
        <v>94</v>
      </c>
      <c r="U101" s="6">
        <v>345</v>
      </c>
    </row>
    <row r="102" spans="20:21" x14ac:dyDescent="0.25">
      <c r="T102" s="4">
        <v>95</v>
      </c>
      <c r="U102" s="6">
        <v>892</v>
      </c>
    </row>
    <row r="103" spans="20:21" x14ac:dyDescent="0.25">
      <c r="T103" s="4">
        <v>96</v>
      </c>
      <c r="U103" s="6">
        <v>590</v>
      </c>
    </row>
    <row r="104" spans="20:21" x14ac:dyDescent="0.25">
      <c r="T104" s="4">
        <v>97</v>
      </c>
      <c r="U104" s="6">
        <v>571</v>
      </c>
    </row>
    <row r="105" spans="20:21" x14ac:dyDescent="0.25">
      <c r="T105" s="4">
        <v>98</v>
      </c>
      <c r="U105" s="6">
        <v>392</v>
      </c>
    </row>
    <row r="106" spans="20:21" x14ac:dyDescent="0.25">
      <c r="T106" s="4">
        <v>99</v>
      </c>
      <c r="U106" s="6">
        <v>393</v>
      </c>
    </row>
    <row r="107" spans="20:21" x14ac:dyDescent="0.25">
      <c r="T107" s="4">
        <v>100</v>
      </c>
      <c r="U107" s="6">
        <v>442</v>
      </c>
    </row>
    <row r="108" spans="20:21" x14ac:dyDescent="0.25">
      <c r="T108" s="4">
        <v>101</v>
      </c>
      <c r="U108" s="6">
        <v>371</v>
      </c>
    </row>
    <row r="109" spans="20:21" x14ac:dyDescent="0.25">
      <c r="T109" s="4">
        <v>102</v>
      </c>
      <c r="U109" s="6">
        <v>368</v>
      </c>
    </row>
    <row r="110" spans="20:21" x14ac:dyDescent="0.25">
      <c r="T110" s="4">
        <v>103</v>
      </c>
      <c r="U110" s="6">
        <v>829</v>
      </c>
    </row>
    <row r="111" spans="20:21" x14ac:dyDescent="0.25">
      <c r="T111" s="4">
        <v>104</v>
      </c>
      <c r="U111" s="6">
        <v>555</v>
      </c>
    </row>
    <row r="112" spans="20:21" x14ac:dyDescent="0.25">
      <c r="T112" s="4">
        <v>105</v>
      </c>
      <c r="U112" s="6">
        <v>553</v>
      </c>
    </row>
    <row r="113" spans="20:21" x14ac:dyDescent="0.25">
      <c r="T113" s="4">
        <v>106</v>
      </c>
      <c r="U113" s="6">
        <v>567</v>
      </c>
    </row>
    <row r="114" spans="20:21" x14ac:dyDescent="0.25">
      <c r="T114" s="4">
        <v>107</v>
      </c>
      <c r="U114" s="6">
        <v>748</v>
      </c>
    </row>
    <row r="115" spans="20:21" x14ac:dyDescent="0.25">
      <c r="T115" s="4">
        <v>108</v>
      </c>
      <c r="U115" s="6">
        <v>509</v>
      </c>
    </row>
    <row r="116" spans="20:21" x14ac:dyDescent="0.25">
      <c r="T116" s="4">
        <v>109</v>
      </c>
      <c r="U116" s="6">
        <v>364</v>
      </c>
    </row>
    <row r="117" spans="20:21" x14ac:dyDescent="0.25">
      <c r="T117" s="4">
        <v>110</v>
      </c>
      <c r="U117" s="6">
        <v>407</v>
      </c>
    </row>
    <row r="118" spans="20:21" x14ac:dyDescent="0.25">
      <c r="T118" s="4">
        <v>111</v>
      </c>
      <c r="U118" s="6">
        <v>391</v>
      </c>
    </row>
    <row r="119" spans="20:21" x14ac:dyDescent="0.25">
      <c r="T119" s="4">
        <v>112</v>
      </c>
      <c r="U119" s="6">
        <v>409</v>
      </c>
    </row>
    <row r="120" spans="20:21" x14ac:dyDescent="0.25">
      <c r="T120" s="4">
        <v>113</v>
      </c>
      <c r="U120" s="6">
        <v>519</v>
      </c>
    </row>
    <row r="121" spans="20:21" x14ac:dyDescent="0.25">
      <c r="T121" s="4">
        <v>114</v>
      </c>
      <c r="U121" s="6">
        <v>324</v>
      </c>
    </row>
    <row r="122" spans="20:21" x14ac:dyDescent="0.25">
      <c r="T122" s="4">
        <v>115</v>
      </c>
      <c r="U122" s="6">
        <v>433</v>
      </c>
    </row>
    <row r="123" spans="20:21" x14ac:dyDescent="0.25">
      <c r="T123" s="4">
        <v>116</v>
      </c>
      <c r="U123" s="6">
        <v>710</v>
      </c>
    </row>
    <row r="124" spans="20:21" x14ac:dyDescent="0.25">
      <c r="T124" s="4">
        <v>117</v>
      </c>
      <c r="U124" s="6">
        <v>586</v>
      </c>
    </row>
    <row r="125" spans="20:21" x14ac:dyDescent="0.25">
      <c r="T125" s="4">
        <v>118</v>
      </c>
      <c r="U125" s="6">
        <v>300</v>
      </c>
    </row>
    <row r="126" spans="20:21" x14ac:dyDescent="0.25">
      <c r="T126" s="4">
        <v>119</v>
      </c>
      <c r="U126" s="6">
        <v>535</v>
      </c>
    </row>
    <row r="127" spans="20:21" x14ac:dyDescent="0.25">
      <c r="T127" s="4">
        <v>120</v>
      </c>
      <c r="U127" s="6">
        <v>558</v>
      </c>
    </row>
    <row r="128" spans="20:21" x14ac:dyDescent="0.25">
      <c r="T128" s="4">
        <v>121</v>
      </c>
      <c r="U128" s="6">
        <v>603</v>
      </c>
    </row>
    <row r="129" spans="20:21" x14ac:dyDescent="0.25">
      <c r="T129" s="4">
        <v>122</v>
      </c>
      <c r="U129" s="6">
        <v>546</v>
      </c>
    </row>
    <row r="130" spans="20:21" x14ac:dyDescent="0.25">
      <c r="T130" s="4">
        <v>123</v>
      </c>
      <c r="U130" s="6">
        <v>808</v>
      </c>
    </row>
    <row r="131" spans="20:21" x14ac:dyDescent="0.25">
      <c r="T131" s="4">
        <v>124</v>
      </c>
      <c r="U131" s="6">
        <v>687</v>
      </c>
    </row>
    <row r="132" spans="20:21" x14ac:dyDescent="0.25">
      <c r="T132" s="4">
        <v>125</v>
      </c>
      <c r="U132" s="6">
        <v>486</v>
      </c>
    </row>
    <row r="133" spans="20:21" x14ac:dyDescent="0.25">
      <c r="T133" s="4">
        <v>126</v>
      </c>
      <c r="U133" s="6">
        <v>478</v>
      </c>
    </row>
    <row r="134" spans="20:21" x14ac:dyDescent="0.25">
      <c r="T134" s="4">
        <v>127</v>
      </c>
      <c r="U134" s="6">
        <v>510</v>
      </c>
    </row>
    <row r="135" spans="20:21" x14ac:dyDescent="0.25">
      <c r="T135" s="4">
        <v>128</v>
      </c>
      <c r="U135" s="6">
        <v>828</v>
      </c>
    </row>
    <row r="136" spans="20:21" x14ac:dyDescent="0.25">
      <c r="T136" s="4">
        <v>129</v>
      </c>
      <c r="U136" s="6">
        <v>469</v>
      </c>
    </row>
    <row r="137" spans="20:21" x14ac:dyDescent="0.25">
      <c r="T137" s="4">
        <v>130</v>
      </c>
      <c r="U137" s="6">
        <v>520</v>
      </c>
    </row>
    <row r="138" spans="20:21" x14ac:dyDescent="0.25">
      <c r="T138" s="4">
        <v>131</v>
      </c>
      <c r="U138" s="6">
        <v>328</v>
      </c>
    </row>
    <row r="139" spans="20:21" x14ac:dyDescent="0.25">
      <c r="T139" s="4">
        <v>132</v>
      </c>
      <c r="U139" s="6">
        <v>599</v>
      </c>
    </row>
    <row r="140" spans="20:21" x14ac:dyDescent="0.25">
      <c r="T140" s="4">
        <v>133</v>
      </c>
      <c r="U140" s="6">
        <v>542</v>
      </c>
    </row>
    <row r="141" spans="20:21" x14ac:dyDescent="0.25">
      <c r="T141" s="4">
        <v>134</v>
      </c>
      <c r="U141" s="6">
        <v>534</v>
      </c>
    </row>
    <row r="142" spans="20:21" x14ac:dyDescent="0.25">
      <c r="T142" s="4">
        <v>135</v>
      </c>
      <c r="U142" s="6">
        <v>417</v>
      </c>
    </row>
    <row r="143" spans="20:21" x14ac:dyDescent="0.25">
      <c r="T143" s="4">
        <v>136</v>
      </c>
      <c r="U143" s="6">
        <v>258</v>
      </c>
    </row>
    <row r="144" spans="20:21" x14ac:dyDescent="0.25">
      <c r="T144" s="4">
        <v>137</v>
      </c>
      <c r="U144" s="6">
        <v>675</v>
      </c>
    </row>
    <row r="145" spans="20:21" x14ac:dyDescent="0.25">
      <c r="T145" s="4">
        <v>138</v>
      </c>
      <c r="U145" s="6">
        <v>615</v>
      </c>
    </row>
    <row r="146" spans="20:21" x14ac:dyDescent="0.25">
      <c r="T146" s="4">
        <v>139</v>
      </c>
      <c r="U146" s="6">
        <v>711</v>
      </c>
    </row>
    <row r="147" spans="20:21" x14ac:dyDescent="0.25">
      <c r="T147" s="4">
        <v>140</v>
      </c>
      <c r="U147" s="6">
        <v>410</v>
      </c>
    </row>
    <row r="148" spans="20:21" x14ac:dyDescent="0.25">
      <c r="T148" s="4">
        <v>141</v>
      </c>
      <c r="U148" s="6">
        <v>428</v>
      </c>
    </row>
    <row r="149" spans="20:21" x14ac:dyDescent="0.25">
      <c r="T149" s="4">
        <v>142</v>
      </c>
      <c r="U149" s="6">
        <v>423</v>
      </c>
    </row>
    <row r="150" spans="20:21" x14ac:dyDescent="0.25">
      <c r="T150" s="4">
        <v>143</v>
      </c>
      <c r="U150" s="6">
        <v>535</v>
      </c>
    </row>
    <row r="151" spans="20:21" x14ac:dyDescent="0.25">
      <c r="T151" s="4">
        <v>144</v>
      </c>
      <c r="U151" s="6">
        <v>475</v>
      </c>
    </row>
    <row r="152" spans="20:21" x14ac:dyDescent="0.25">
      <c r="T152" s="4">
        <v>145</v>
      </c>
      <c r="U152" s="6">
        <v>482</v>
      </c>
    </row>
    <row r="153" spans="20:21" x14ac:dyDescent="0.25">
      <c r="T153" s="4">
        <v>146</v>
      </c>
      <c r="U153" s="6">
        <v>263</v>
      </c>
    </row>
    <row r="154" spans="20:21" x14ac:dyDescent="0.25">
      <c r="T154" s="4">
        <v>147</v>
      </c>
      <c r="U154" s="6">
        <v>466</v>
      </c>
    </row>
    <row r="155" spans="20:21" x14ac:dyDescent="0.25">
      <c r="T155" s="4">
        <v>148</v>
      </c>
      <c r="U155" s="6">
        <v>236</v>
      </c>
    </row>
    <row r="156" spans="20:21" x14ac:dyDescent="0.25">
      <c r="T156" s="4">
        <v>149</v>
      </c>
      <c r="U156" s="6">
        <v>401</v>
      </c>
    </row>
    <row r="157" spans="20:21" x14ac:dyDescent="0.25">
      <c r="T157" s="4">
        <v>150</v>
      </c>
      <c r="U157" s="6">
        <v>509</v>
      </c>
    </row>
    <row r="158" spans="20:21" x14ac:dyDescent="0.25">
      <c r="T158" s="4">
        <v>151</v>
      </c>
      <c r="U158" s="6">
        <v>423</v>
      </c>
    </row>
    <row r="159" spans="20:21" x14ac:dyDescent="0.25">
      <c r="T159" s="4">
        <v>152</v>
      </c>
      <c r="U159" s="6">
        <v>724</v>
      </c>
    </row>
    <row r="160" spans="20:21" x14ac:dyDescent="0.25">
      <c r="T160" s="4">
        <v>153</v>
      </c>
      <c r="U160" s="6">
        <v>580</v>
      </c>
    </row>
    <row r="161" spans="20:21" x14ac:dyDescent="0.25">
      <c r="T161" s="4">
        <v>154</v>
      </c>
      <c r="U161" s="6">
        <v>247</v>
      </c>
    </row>
    <row r="162" spans="20:21" x14ac:dyDescent="0.25">
      <c r="T162" s="4">
        <v>155</v>
      </c>
      <c r="U162" s="6">
        <v>642</v>
      </c>
    </row>
    <row r="163" spans="20:21" x14ac:dyDescent="0.25">
      <c r="T163" s="4">
        <v>156</v>
      </c>
      <c r="U163" s="6">
        <v>528</v>
      </c>
    </row>
    <row r="164" spans="20:21" x14ac:dyDescent="0.25">
      <c r="T164" s="4">
        <v>157</v>
      </c>
      <c r="U164" s="6">
        <v>596</v>
      </c>
    </row>
    <row r="165" spans="20:21" x14ac:dyDescent="0.25">
      <c r="T165" s="4">
        <v>158</v>
      </c>
      <c r="U165" s="6">
        <v>549</v>
      </c>
    </row>
    <row r="166" spans="20:21" x14ac:dyDescent="0.25">
      <c r="T166" s="4">
        <v>159</v>
      </c>
      <c r="U166" s="6">
        <v>329</v>
      </c>
    </row>
    <row r="167" spans="20:21" x14ac:dyDescent="0.25">
      <c r="T167" s="4">
        <v>160</v>
      </c>
      <c r="U167" s="6">
        <v>691</v>
      </c>
    </row>
    <row r="168" spans="20:21" x14ac:dyDescent="0.25">
      <c r="T168" s="4">
        <v>161</v>
      </c>
      <c r="U168" s="6">
        <v>490</v>
      </c>
    </row>
    <row r="169" spans="20:21" x14ac:dyDescent="0.25">
      <c r="T169" s="4">
        <v>162</v>
      </c>
      <c r="U169" s="6">
        <v>433</v>
      </c>
    </row>
    <row r="170" spans="20:21" x14ac:dyDescent="0.25">
      <c r="T170" s="4">
        <v>163</v>
      </c>
      <c r="U170" s="6">
        <v>516</v>
      </c>
    </row>
    <row r="171" spans="20:21" x14ac:dyDescent="0.25">
      <c r="T171" s="4">
        <v>164</v>
      </c>
      <c r="U171" s="6">
        <v>688</v>
      </c>
    </row>
    <row r="172" spans="20:21" x14ac:dyDescent="0.25">
      <c r="T172" s="4">
        <v>165</v>
      </c>
      <c r="U172" s="6">
        <v>513</v>
      </c>
    </row>
    <row r="173" spans="20:21" x14ac:dyDescent="0.25">
      <c r="T173" s="4">
        <v>166</v>
      </c>
      <c r="U173" s="6">
        <v>385</v>
      </c>
    </row>
    <row r="174" spans="20:21" x14ac:dyDescent="0.25">
      <c r="T174" s="4">
        <v>167</v>
      </c>
      <c r="U174" s="6">
        <v>351</v>
      </c>
    </row>
    <row r="175" spans="20:21" x14ac:dyDescent="0.25">
      <c r="T175" s="4">
        <v>168</v>
      </c>
      <c r="U175" s="6">
        <v>494</v>
      </c>
    </row>
    <row r="176" spans="20:21" x14ac:dyDescent="0.25">
      <c r="T176" s="4">
        <v>169</v>
      </c>
      <c r="U176" s="6">
        <v>567</v>
      </c>
    </row>
    <row r="177" spans="20:21" x14ac:dyDescent="0.25">
      <c r="T177" s="4">
        <v>170</v>
      </c>
      <c r="U177" s="6">
        <v>428</v>
      </c>
    </row>
    <row r="178" spans="20:21" x14ac:dyDescent="0.25">
      <c r="T178" s="4">
        <v>171</v>
      </c>
      <c r="U178" s="6">
        <v>442</v>
      </c>
    </row>
    <row r="179" spans="20:21" x14ac:dyDescent="0.25">
      <c r="T179" s="4">
        <v>172</v>
      </c>
      <c r="U179" s="6">
        <v>393</v>
      </c>
    </row>
    <row r="180" spans="20:21" x14ac:dyDescent="0.25">
      <c r="T180" s="4">
        <v>173</v>
      </c>
      <c r="U180" s="6">
        <v>366</v>
      </c>
    </row>
    <row r="181" spans="20:21" x14ac:dyDescent="0.25">
      <c r="T181" s="4">
        <v>174</v>
      </c>
      <c r="U181" s="6">
        <v>315</v>
      </c>
    </row>
    <row r="182" spans="20:21" x14ac:dyDescent="0.25">
      <c r="T182" s="4">
        <v>175</v>
      </c>
      <c r="U182" s="6">
        <v>397</v>
      </c>
    </row>
    <row r="183" spans="20:21" x14ac:dyDescent="0.25">
      <c r="T183" s="4">
        <v>176</v>
      </c>
      <c r="U183" s="6">
        <v>597</v>
      </c>
    </row>
    <row r="184" spans="20:21" x14ac:dyDescent="0.25">
      <c r="T184" s="4">
        <v>177</v>
      </c>
      <c r="U184" s="6">
        <v>482</v>
      </c>
    </row>
    <row r="185" spans="20:21" x14ac:dyDescent="0.25">
      <c r="T185" s="4">
        <v>178</v>
      </c>
      <c r="U185" s="6">
        <v>470</v>
      </c>
    </row>
    <row r="186" spans="20:21" x14ac:dyDescent="0.25">
      <c r="T186" s="4">
        <v>179</v>
      </c>
      <c r="U186" s="6">
        <v>406</v>
      </c>
    </row>
    <row r="187" spans="20:21" x14ac:dyDescent="0.25">
      <c r="T187" s="4">
        <v>180</v>
      </c>
      <c r="U187" s="6">
        <v>425</v>
      </c>
    </row>
    <row r="188" spans="20:21" x14ac:dyDescent="0.25">
      <c r="T188" s="4">
        <v>181</v>
      </c>
      <c r="U188" s="6">
        <v>249</v>
      </c>
    </row>
    <row r="189" spans="20:21" x14ac:dyDescent="0.25">
      <c r="T189" s="4">
        <v>182</v>
      </c>
      <c r="U189" s="6">
        <v>592</v>
      </c>
    </row>
    <row r="190" spans="20:21" x14ac:dyDescent="0.25">
      <c r="T190" s="4">
        <v>183</v>
      </c>
      <c r="U190" s="6">
        <v>294</v>
      </c>
    </row>
    <row r="191" spans="20:21" x14ac:dyDescent="0.25">
      <c r="T191" s="4">
        <v>184</v>
      </c>
      <c r="U191" s="6">
        <v>642</v>
      </c>
    </row>
    <row r="192" spans="20:21" x14ac:dyDescent="0.25">
      <c r="T192" s="4">
        <v>185</v>
      </c>
      <c r="U192" s="6">
        <v>522</v>
      </c>
    </row>
    <row r="193" spans="20:21" x14ac:dyDescent="0.25">
      <c r="T193" s="4">
        <v>186</v>
      </c>
      <c r="U193" s="6">
        <v>645</v>
      </c>
    </row>
    <row r="194" spans="20:21" x14ac:dyDescent="0.25">
      <c r="T194" s="4">
        <v>187</v>
      </c>
      <c r="U194" s="6">
        <v>545</v>
      </c>
    </row>
    <row r="195" spans="20:21" x14ac:dyDescent="0.25">
      <c r="T195" s="4">
        <v>188</v>
      </c>
      <c r="U195" s="6">
        <v>558</v>
      </c>
    </row>
    <row r="196" spans="20:21" x14ac:dyDescent="0.25">
      <c r="T196" s="4">
        <v>189</v>
      </c>
      <c r="U196" s="6">
        <v>256</v>
      </c>
    </row>
    <row r="197" spans="20:21" x14ac:dyDescent="0.25">
      <c r="T197" s="4">
        <v>190</v>
      </c>
      <c r="U197" s="6">
        <v>526</v>
      </c>
    </row>
    <row r="198" spans="20:21" x14ac:dyDescent="0.25">
      <c r="T198" s="4">
        <v>191</v>
      </c>
      <c r="U198" s="6">
        <v>343</v>
      </c>
    </row>
    <row r="199" spans="20:21" x14ac:dyDescent="0.25">
      <c r="T199" s="4">
        <v>192</v>
      </c>
      <c r="U199" s="6">
        <v>365</v>
      </c>
    </row>
    <row r="200" spans="20:21" x14ac:dyDescent="0.25">
      <c r="T200" s="4">
        <v>193</v>
      </c>
      <c r="U200" s="6">
        <v>413</v>
      </c>
    </row>
    <row r="201" spans="20:21" x14ac:dyDescent="0.25">
      <c r="T201" s="4">
        <v>194</v>
      </c>
      <c r="U201" s="6">
        <v>609</v>
      </c>
    </row>
    <row r="202" spans="20:21" x14ac:dyDescent="0.25">
      <c r="T202" s="4">
        <v>195</v>
      </c>
      <c r="U202" s="6">
        <v>590</v>
      </c>
    </row>
    <row r="203" spans="20:21" x14ac:dyDescent="0.25">
      <c r="T203" s="4">
        <v>196</v>
      </c>
      <c r="U203" s="6">
        <v>523</v>
      </c>
    </row>
    <row r="204" spans="20:21" x14ac:dyDescent="0.25">
      <c r="T204" s="4">
        <v>197</v>
      </c>
      <c r="U204" s="6">
        <v>513</v>
      </c>
    </row>
    <row r="205" spans="20:21" x14ac:dyDescent="0.25">
      <c r="T205" s="4">
        <v>198</v>
      </c>
      <c r="U205" s="6">
        <v>566</v>
      </c>
    </row>
    <row r="206" spans="20:21" x14ac:dyDescent="0.25">
      <c r="T206" s="4">
        <v>199</v>
      </c>
      <c r="U206" s="6">
        <v>570</v>
      </c>
    </row>
    <row r="207" spans="20:21" x14ac:dyDescent="0.25">
      <c r="T207" s="4">
        <v>200</v>
      </c>
      <c r="U207" s="6">
        <v>340</v>
      </c>
    </row>
    <row r="208" spans="20:21" x14ac:dyDescent="0.25">
      <c r="T208" s="4">
        <v>201</v>
      </c>
      <c r="U208" s="6">
        <v>804</v>
      </c>
    </row>
    <row r="209" spans="20:21" x14ac:dyDescent="0.25">
      <c r="T209" s="4">
        <v>202</v>
      </c>
      <c r="U209" s="6">
        <v>668</v>
      </c>
    </row>
    <row r="210" spans="20:21" x14ac:dyDescent="0.25">
      <c r="T210" s="4">
        <v>203</v>
      </c>
      <c r="U210" s="6">
        <v>762</v>
      </c>
    </row>
    <row r="211" spans="20:21" x14ac:dyDescent="0.25">
      <c r="T211" s="4">
        <v>204</v>
      </c>
      <c r="U211" s="6">
        <v>393</v>
      </c>
    </row>
    <row r="212" spans="20:21" x14ac:dyDescent="0.25">
      <c r="T212" s="4">
        <v>205</v>
      </c>
      <c r="U212" s="6">
        <v>611</v>
      </c>
    </row>
    <row r="213" spans="20:21" x14ac:dyDescent="0.25">
      <c r="T213" s="4">
        <v>206</v>
      </c>
      <c r="U213" s="6">
        <v>414</v>
      </c>
    </row>
    <row r="214" spans="20:21" x14ac:dyDescent="0.25">
      <c r="T214" s="4">
        <v>207</v>
      </c>
      <c r="U214" s="6">
        <v>464</v>
      </c>
    </row>
    <row r="215" spans="20:21" x14ac:dyDescent="0.25">
      <c r="T215" s="4">
        <v>208</v>
      </c>
      <c r="U215" s="6">
        <v>580</v>
      </c>
    </row>
    <row r="216" spans="20:21" x14ac:dyDescent="0.25">
      <c r="T216" s="4">
        <v>209</v>
      </c>
      <c r="U216" s="6">
        <v>593</v>
      </c>
    </row>
    <row r="217" spans="20:21" x14ac:dyDescent="0.25">
      <c r="T217" s="4">
        <v>210</v>
      </c>
      <c r="U217" s="6">
        <v>485</v>
      </c>
    </row>
    <row r="218" spans="20:21" x14ac:dyDescent="0.25">
      <c r="T218" s="4">
        <v>211</v>
      </c>
      <c r="U218" s="6">
        <v>731</v>
      </c>
    </row>
    <row r="219" spans="20:21" x14ac:dyDescent="0.25">
      <c r="T219" s="4">
        <v>212</v>
      </c>
      <c r="U219" s="6">
        <v>568</v>
      </c>
    </row>
    <row r="220" spans="20:21" x14ac:dyDescent="0.25">
      <c r="T220" s="4">
        <v>213</v>
      </c>
      <c r="U220" s="6">
        <v>890</v>
      </c>
    </row>
    <row r="221" spans="20:21" x14ac:dyDescent="0.25">
      <c r="T221" s="4">
        <v>214</v>
      </c>
      <c r="U221" s="6">
        <v>523</v>
      </c>
    </row>
    <row r="222" spans="20:21" x14ac:dyDescent="0.25">
      <c r="T222" s="4">
        <v>215</v>
      </c>
      <c r="U222" s="6">
        <v>469</v>
      </c>
    </row>
    <row r="223" spans="20:21" x14ac:dyDescent="0.25">
      <c r="T223" s="4">
        <v>216</v>
      </c>
      <c r="U223" s="6">
        <v>452</v>
      </c>
    </row>
    <row r="224" spans="20:21" x14ac:dyDescent="0.25">
      <c r="T224" s="4">
        <v>217</v>
      </c>
      <c r="U224" s="6">
        <v>385</v>
      </c>
    </row>
    <row r="225" spans="20:21" x14ac:dyDescent="0.25">
      <c r="T225" s="4">
        <v>218</v>
      </c>
      <c r="U225" s="6">
        <v>526</v>
      </c>
    </row>
    <row r="226" spans="20:21" x14ac:dyDescent="0.25">
      <c r="T226" s="4">
        <v>219</v>
      </c>
      <c r="U226" s="6">
        <v>808</v>
      </c>
    </row>
    <row r="227" spans="20:21" x14ac:dyDescent="0.25">
      <c r="T227" s="4">
        <v>220</v>
      </c>
      <c r="U227" s="6">
        <v>414</v>
      </c>
    </row>
    <row r="228" spans="20:21" x14ac:dyDescent="0.25">
      <c r="T228" s="4">
        <v>221</v>
      </c>
      <c r="U228" s="6">
        <v>385</v>
      </c>
    </row>
    <row r="229" spans="20:21" x14ac:dyDescent="0.25">
      <c r="T229" s="4">
        <v>222</v>
      </c>
      <c r="U229" s="6">
        <v>547</v>
      </c>
    </row>
    <row r="230" spans="20:21" x14ac:dyDescent="0.25">
      <c r="T230" s="4">
        <v>223</v>
      </c>
      <c r="U230" s="6">
        <v>318</v>
      </c>
    </row>
    <row r="231" spans="20:21" x14ac:dyDescent="0.25">
      <c r="T231" s="4">
        <v>224</v>
      </c>
      <c r="U231" s="6">
        <v>238</v>
      </c>
    </row>
    <row r="232" spans="20:21" x14ac:dyDescent="0.25">
      <c r="T232" s="4">
        <v>225</v>
      </c>
      <c r="U232" s="6">
        <v>460</v>
      </c>
    </row>
    <row r="233" spans="20:21" x14ac:dyDescent="0.25">
      <c r="T233" s="4">
        <v>226</v>
      </c>
      <c r="U233" s="6">
        <v>574</v>
      </c>
    </row>
    <row r="234" spans="20:21" x14ac:dyDescent="0.25">
      <c r="T234" s="4">
        <v>227</v>
      </c>
      <c r="U234" s="6">
        <v>480</v>
      </c>
    </row>
    <row r="235" spans="20:21" x14ac:dyDescent="0.25">
      <c r="T235" s="4">
        <v>228</v>
      </c>
      <c r="U235" s="6">
        <v>334</v>
      </c>
    </row>
    <row r="236" spans="20:21" x14ac:dyDescent="0.25">
      <c r="T236" s="4">
        <v>229</v>
      </c>
      <c r="U236" s="6">
        <v>466</v>
      </c>
    </row>
    <row r="237" spans="20:21" x14ac:dyDescent="0.25">
      <c r="T237" s="4">
        <v>230</v>
      </c>
      <c r="U237" s="6">
        <v>591</v>
      </c>
    </row>
    <row r="238" spans="20:21" x14ac:dyDescent="0.25">
      <c r="T238" s="4">
        <v>231</v>
      </c>
      <c r="U238" s="6">
        <v>349</v>
      </c>
    </row>
    <row r="239" spans="20:21" x14ac:dyDescent="0.25">
      <c r="T239" s="4">
        <v>232</v>
      </c>
      <c r="U239" s="6">
        <v>519</v>
      </c>
    </row>
    <row r="240" spans="20:21" x14ac:dyDescent="0.25">
      <c r="T240" s="4">
        <v>233</v>
      </c>
      <c r="U240" s="6">
        <v>451</v>
      </c>
    </row>
    <row r="241" spans="20:21" x14ac:dyDescent="0.25">
      <c r="T241" s="4">
        <v>234</v>
      </c>
      <c r="U241" s="6">
        <v>433</v>
      </c>
    </row>
    <row r="242" spans="20:21" x14ac:dyDescent="0.25">
      <c r="T242" s="4">
        <v>235</v>
      </c>
      <c r="U242" s="6">
        <v>875</v>
      </c>
    </row>
    <row r="243" spans="20:21" x14ac:dyDescent="0.25">
      <c r="T243" s="4">
        <v>236</v>
      </c>
      <c r="U243" s="6">
        <v>528</v>
      </c>
    </row>
    <row r="244" spans="20:21" x14ac:dyDescent="0.25">
      <c r="T244" s="4">
        <v>237</v>
      </c>
      <c r="U244" s="6">
        <v>332</v>
      </c>
    </row>
    <row r="245" spans="20:21" x14ac:dyDescent="0.25">
      <c r="T245" s="4">
        <v>238</v>
      </c>
      <c r="U245" s="6">
        <v>435</v>
      </c>
    </row>
    <row r="246" spans="20:21" x14ac:dyDescent="0.25">
      <c r="T246" s="4">
        <v>239</v>
      </c>
      <c r="U246" s="6">
        <v>651</v>
      </c>
    </row>
    <row r="247" spans="20:21" x14ac:dyDescent="0.25">
      <c r="T247" s="4">
        <v>240</v>
      </c>
      <c r="U247" s="6">
        <v>387</v>
      </c>
    </row>
    <row r="248" spans="20:21" x14ac:dyDescent="0.25">
      <c r="T248" s="4">
        <v>241</v>
      </c>
      <c r="U248" s="6">
        <v>438</v>
      </c>
    </row>
    <row r="249" spans="20:21" x14ac:dyDescent="0.25">
      <c r="T249" s="4">
        <v>242</v>
      </c>
      <c r="U249" s="6">
        <v>563</v>
      </c>
    </row>
    <row r="250" spans="20:21" x14ac:dyDescent="0.25">
      <c r="T250" s="4">
        <v>243</v>
      </c>
      <c r="U250" s="6">
        <v>502</v>
      </c>
    </row>
    <row r="251" spans="20:21" x14ac:dyDescent="0.25">
      <c r="T251" s="4">
        <v>244</v>
      </c>
      <c r="U251" s="6">
        <v>553</v>
      </c>
    </row>
    <row r="252" spans="20:21" x14ac:dyDescent="0.25">
      <c r="T252" s="4">
        <v>245</v>
      </c>
      <c r="U252" s="6">
        <v>407</v>
      </c>
    </row>
    <row r="253" spans="20:21" x14ac:dyDescent="0.25">
      <c r="T253" s="4">
        <v>246</v>
      </c>
      <c r="U253" s="6">
        <v>412</v>
      </c>
    </row>
    <row r="254" spans="20:21" x14ac:dyDescent="0.25">
      <c r="T254" s="4">
        <v>247</v>
      </c>
      <c r="U254" s="6">
        <v>491</v>
      </c>
    </row>
    <row r="255" spans="20:21" x14ac:dyDescent="0.25">
      <c r="T255" s="4">
        <v>248</v>
      </c>
      <c r="U255" s="6">
        <v>537</v>
      </c>
    </row>
    <row r="256" spans="20:21" x14ac:dyDescent="0.25">
      <c r="T256" s="4">
        <v>249</v>
      </c>
      <c r="U256" s="6">
        <v>387</v>
      </c>
    </row>
    <row r="257" spans="20:21" x14ac:dyDescent="0.25">
      <c r="T257" s="4">
        <v>250</v>
      </c>
      <c r="U257" s="6">
        <v>594</v>
      </c>
    </row>
    <row r="258" spans="20:21" x14ac:dyDescent="0.25">
      <c r="T258" s="4">
        <v>251</v>
      </c>
      <c r="U258" s="6">
        <v>722</v>
      </c>
    </row>
    <row r="259" spans="20:21" x14ac:dyDescent="0.25">
      <c r="T259" s="4">
        <v>252</v>
      </c>
      <c r="U259" s="6">
        <v>407</v>
      </c>
    </row>
    <row r="260" spans="20:21" x14ac:dyDescent="0.25">
      <c r="T260" s="4">
        <v>253</v>
      </c>
      <c r="U260" s="6">
        <v>604</v>
      </c>
    </row>
    <row r="261" spans="20:21" x14ac:dyDescent="0.25">
      <c r="T261" s="4">
        <v>254</v>
      </c>
      <c r="U261" s="6">
        <v>200</v>
      </c>
    </row>
    <row r="262" spans="20:21" x14ac:dyDescent="0.25">
      <c r="T262" s="4">
        <v>255</v>
      </c>
      <c r="U262" s="6">
        <v>582</v>
      </c>
    </row>
    <row r="263" spans="20:21" x14ac:dyDescent="0.25">
      <c r="T263" s="4">
        <v>256</v>
      </c>
      <c r="U263" s="6">
        <v>519</v>
      </c>
    </row>
    <row r="264" spans="20:21" x14ac:dyDescent="0.25">
      <c r="T264" s="4">
        <v>257</v>
      </c>
      <c r="U264" s="6">
        <v>549</v>
      </c>
    </row>
    <row r="265" spans="20:21" x14ac:dyDescent="0.25">
      <c r="T265" s="4">
        <v>258</v>
      </c>
      <c r="U265" s="6">
        <v>695</v>
      </c>
    </row>
    <row r="266" spans="20:21" x14ac:dyDescent="0.25">
      <c r="T266" s="4">
        <v>259</v>
      </c>
      <c r="U266" s="6">
        <v>328</v>
      </c>
    </row>
    <row r="267" spans="20:21" x14ac:dyDescent="0.25">
      <c r="T267" s="4">
        <v>260</v>
      </c>
      <c r="U267" s="6">
        <v>619</v>
      </c>
    </row>
    <row r="268" spans="20:21" x14ac:dyDescent="0.25">
      <c r="T268" s="4">
        <v>261</v>
      </c>
      <c r="U268" s="6">
        <v>727</v>
      </c>
    </row>
    <row r="269" spans="20:21" x14ac:dyDescent="0.25">
      <c r="T269" s="4">
        <v>262</v>
      </c>
      <c r="U269" s="6">
        <v>315</v>
      </c>
    </row>
    <row r="270" spans="20:21" x14ac:dyDescent="0.25">
      <c r="T270" s="4">
        <v>263</v>
      </c>
      <c r="U270" s="6">
        <v>287</v>
      </c>
    </row>
    <row r="271" spans="20:21" x14ac:dyDescent="0.25">
      <c r="T271" s="4">
        <v>264</v>
      </c>
      <c r="U271" s="6">
        <v>615</v>
      </c>
    </row>
    <row r="272" spans="20:21" x14ac:dyDescent="0.25">
      <c r="T272" s="4">
        <v>265</v>
      </c>
      <c r="U272" s="6">
        <v>453</v>
      </c>
    </row>
    <row r="273" spans="20:21" x14ac:dyDescent="0.25">
      <c r="T273" s="4">
        <v>266</v>
      </c>
      <c r="U273" s="6">
        <v>589</v>
      </c>
    </row>
    <row r="274" spans="20:21" x14ac:dyDescent="0.25">
      <c r="T274" s="4">
        <v>267</v>
      </c>
      <c r="U274" s="6">
        <v>369</v>
      </c>
    </row>
    <row r="275" spans="20:21" x14ac:dyDescent="0.25">
      <c r="T275" s="4">
        <v>268</v>
      </c>
      <c r="U275" s="6">
        <v>435</v>
      </c>
    </row>
    <row r="276" spans="20:21" x14ac:dyDescent="0.25">
      <c r="T276" s="4">
        <v>269</v>
      </c>
      <c r="U276" s="6">
        <v>380</v>
      </c>
    </row>
    <row r="277" spans="20:21" x14ac:dyDescent="0.25">
      <c r="T277" s="4">
        <v>270</v>
      </c>
      <c r="U277" s="6">
        <v>476</v>
      </c>
    </row>
    <row r="278" spans="20:21" x14ac:dyDescent="0.25">
      <c r="T278" s="4">
        <v>271</v>
      </c>
      <c r="U278" s="6">
        <v>453</v>
      </c>
    </row>
    <row r="279" spans="20:21" x14ac:dyDescent="0.25">
      <c r="T279" s="4">
        <v>272</v>
      </c>
      <c r="U279" s="6">
        <v>482</v>
      </c>
    </row>
    <row r="280" spans="20:21" x14ac:dyDescent="0.25">
      <c r="T280" s="4">
        <v>273</v>
      </c>
      <c r="U280" s="6">
        <v>122</v>
      </c>
    </row>
    <row r="281" spans="20:21" x14ac:dyDescent="0.25">
      <c r="T281" s="4">
        <v>274</v>
      </c>
      <c r="U281" s="6">
        <v>579</v>
      </c>
    </row>
    <row r="282" spans="20:21" x14ac:dyDescent="0.25">
      <c r="T282" s="4">
        <v>275</v>
      </c>
      <c r="U282" s="6">
        <v>626</v>
      </c>
    </row>
    <row r="283" spans="20:21" x14ac:dyDescent="0.25">
      <c r="T283" s="4">
        <v>276</v>
      </c>
      <c r="U283" s="6">
        <v>434</v>
      </c>
    </row>
    <row r="284" spans="20:21" x14ac:dyDescent="0.25">
      <c r="T284" s="4">
        <v>277</v>
      </c>
      <c r="U284" s="6">
        <v>570</v>
      </c>
    </row>
    <row r="285" spans="20:21" x14ac:dyDescent="0.25">
      <c r="T285" s="4">
        <v>278</v>
      </c>
      <c r="U285" s="6">
        <v>532</v>
      </c>
    </row>
    <row r="286" spans="20:21" x14ac:dyDescent="0.25">
      <c r="T286" s="4">
        <v>279</v>
      </c>
      <c r="U286" s="6">
        <v>181</v>
      </c>
    </row>
    <row r="287" spans="20:21" x14ac:dyDescent="0.25">
      <c r="T287" s="4">
        <v>280</v>
      </c>
      <c r="U287" s="6">
        <v>736</v>
      </c>
    </row>
    <row r="288" spans="20:21" x14ac:dyDescent="0.25">
      <c r="T288" s="4">
        <v>281</v>
      </c>
      <c r="U288" s="6">
        <v>473</v>
      </c>
    </row>
    <row r="289" spans="20:21" x14ac:dyDescent="0.25">
      <c r="T289" s="4">
        <v>282</v>
      </c>
      <c r="U289" s="6">
        <v>281</v>
      </c>
    </row>
    <row r="290" spans="20:21" x14ac:dyDescent="0.25">
      <c r="T290" s="4">
        <v>283</v>
      </c>
      <c r="U290" s="6">
        <v>647</v>
      </c>
    </row>
    <row r="291" spans="20:21" x14ac:dyDescent="0.25">
      <c r="T291" s="4">
        <v>284</v>
      </c>
      <c r="U291" s="6">
        <v>408</v>
      </c>
    </row>
    <row r="292" spans="20:21" x14ac:dyDescent="0.25">
      <c r="T292" s="4">
        <v>285</v>
      </c>
      <c r="U292" s="6">
        <v>578</v>
      </c>
    </row>
    <row r="293" spans="20:21" x14ac:dyDescent="0.25">
      <c r="T293" s="4">
        <v>286</v>
      </c>
      <c r="U293" s="6">
        <v>308</v>
      </c>
    </row>
    <row r="294" spans="20:21" x14ac:dyDescent="0.25">
      <c r="T294" s="4">
        <v>287</v>
      </c>
      <c r="U294" s="6">
        <v>309</v>
      </c>
    </row>
    <row r="295" spans="20:21" x14ac:dyDescent="0.25">
      <c r="T295" s="4">
        <v>288</v>
      </c>
      <c r="U295" s="6">
        <v>485</v>
      </c>
    </row>
    <row r="296" spans="20:21" x14ac:dyDescent="0.25">
      <c r="T296" s="4">
        <v>289</v>
      </c>
      <c r="U296" s="6">
        <v>459</v>
      </c>
    </row>
    <row r="297" spans="20:21" x14ac:dyDescent="0.25">
      <c r="T297" s="4">
        <v>290</v>
      </c>
      <c r="U297" s="6">
        <v>681</v>
      </c>
    </row>
    <row r="298" spans="20:21" x14ac:dyDescent="0.25">
      <c r="T298" s="4">
        <v>291</v>
      </c>
      <c r="U298" s="6">
        <v>665</v>
      </c>
    </row>
    <row r="299" spans="20:21" x14ac:dyDescent="0.25">
      <c r="T299" s="4">
        <v>292</v>
      </c>
      <c r="U299" s="6">
        <v>389</v>
      </c>
    </row>
    <row r="300" spans="20:21" x14ac:dyDescent="0.25">
      <c r="T300" s="4">
        <v>293</v>
      </c>
      <c r="U300" s="6">
        <v>800</v>
      </c>
    </row>
    <row r="301" spans="20:21" x14ac:dyDescent="0.25">
      <c r="T301" s="4">
        <v>294</v>
      </c>
      <c r="U301" s="6">
        <v>489</v>
      </c>
    </row>
    <row r="302" spans="20:21" x14ac:dyDescent="0.25">
      <c r="T302" s="4">
        <v>295</v>
      </c>
      <c r="U302" s="6">
        <v>312</v>
      </c>
    </row>
    <row r="303" spans="20:21" x14ac:dyDescent="0.25">
      <c r="T303" s="4">
        <v>296</v>
      </c>
      <c r="U303" s="6">
        <v>595</v>
      </c>
    </row>
    <row r="304" spans="20:21" x14ac:dyDescent="0.25">
      <c r="T304" s="4">
        <v>297</v>
      </c>
      <c r="U304" s="6">
        <v>635</v>
      </c>
    </row>
    <row r="305" spans="20:21" x14ac:dyDescent="0.25">
      <c r="T305" s="4">
        <v>298</v>
      </c>
      <c r="U305" s="6">
        <v>637</v>
      </c>
    </row>
    <row r="306" spans="20:21" x14ac:dyDescent="0.25">
      <c r="T306" s="4">
        <v>299</v>
      </c>
      <c r="U306" s="6">
        <v>537</v>
      </c>
    </row>
    <row r="307" spans="20:21" x14ac:dyDescent="0.25">
      <c r="T307" s="4">
        <v>300</v>
      </c>
      <c r="U307" s="6">
        <v>687</v>
      </c>
    </row>
    <row r="308" spans="20:21" x14ac:dyDescent="0.25">
      <c r="T308" s="4">
        <v>301</v>
      </c>
      <c r="U308" s="6">
        <v>436</v>
      </c>
    </row>
    <row r="309" spans="20:21" x14ac:dyDescent="0.25">
      <c r="T309" s="4">
        <v>302</v>
      </c>
      <c r="U309" s="6">
        <v>460</v>
      </c>
    </row>
    <row r="310" spans="20:21" x14ac:dyDescent="0.25">
      <c r="T310" s="4">
        <v>303</v>
      </c>
      <c r="U310" s="6">
        <v>191</v>
      </c>
    </row>
    <row r="311" spans="20:21" x14ac:dyDescent="0.25">
      <c r="T311" s="4">
        <v>304</v>
      </c>
      <c r="U311" s="6">
        <v>523</v>
      </c>
    </row>
    <row r="312" spans="20:21" x14ac:dyDescent="0.25">
      <c r="T312" s="4">
        <v>305</v>
      </c>
      <c r="U312" s="6">
        <v>667</v>
      </c>
    </row>
    <row r="313" spans="20:21" x14ac:dyDescent="0.25">
      <c r="T313" s="4">
        <v>306</v>
      </c>
      <c r="U313" s="6">
        <v>294</v>
      </c>
    </row>
    <row r="314" spans="20:21" x14ac:dyDescent="0.25">
      <c r="T314" s="4">
        <v>307</v>
      </c>
      <c r="U314" s="6">
        <v>429</v>
      </c>
    </row>
    <row r="315" spans="20:21" x14ac:dyDescent="0.25">
      <c r="T315" s="4">
        <v>308</v>
      </c>
      <c r="U315" s="6">
        <v>767</v>
      </c>
    </row>
    <row r="316" spans="20:21" x14ac:dyDescent="0.25">
      <c r="T316" s="4">
        <v>309</v>
      </c>
      <c r="U316" s="6">
        <v>318</v>
      </c>
    </row>
    <row r="317" spans="20:21" x14ac:dyDescent="0.25">
      <c r="T317" s="4">
        <v>310</v>
      </c>
      <c r="U317" s="6">
        <v>414</v>
      </c>
    </row>
    <row r="318" spans="20:21" x14ac:dyDescent="0.25">
      <c r="T318" s="4">
        <v>311</v>
      </c>
      <c r="U318" s="6">
        <v>644</v>
      </c>
    </row>
    <row r="319" spans="20:21" x14ac:dyDescent="0.25">
      <c r="T319" s="4">
        <v>312</v>
      </c>
      <c r="U319" s="6">
        <v>545</v>
      </c>
    </row>
    <row r="320" spans="20:21" x14ac:dyDescent="0.25">
      <c r="T320" s="4">
        <v>313</v>
      </c>
      <c r="U320" s="6">
        <v>435</v>
      </c>
    </row>
    <row r="321" spans="20:21" x14ac:dyDescent="0.25">
      <c r="T321" s="4">
        <v>314</v>
      </c>
      <c r="U321" s="6">
        <v>441</v>
      </c>
    </row>
    <row r="322" spans="20:21" x14ac:dyDescent="0.25">
      <c r="T322" s="4">
        <v>315</v>
      </c>
      <c r="U322" s="6">
        <v>392</v>
      </c>
    </row>
    <row r="323" spans="20:21" x14ac:dyDescent="0.25">
      <c r="T323" s="4">
        <v>316</v>
      </c>
      <c r="U323" s="6">
        <v>347</v>
      </c>
    </row>
    <row r="324" spans="20:21" x14ac:dyDescent="0.25">
      <c r="T324" s="4">
        <v>317</v>
      </c>
      <c r="U324" s="6">
        <v>362</v>
      </c>
    </row>
    <row r="325" spans="20:21" x14ac:dyDescent="0.25">
      <c r="T325" s="4">
        <v>318</v>
      </c>
      <c r="U325" s="6">
        <v>325</v>
      </c>
    </row>
    <row r="326" spans="20:21" x14ac:dyDescent="0.25">
      <c r="T326" s="4">
        <v>319</v>
      </c>
      <c r="U326" s="6">
        <v>537</v>
      </c>
    </row>
    <row r="327" spans="20:21" x14ac:dyDescent="0.25">
      <c r="T327" s="4">
        <v>320</v>
      </c>
      <c r="U327" s="6">
        <v>469</v>
      </c>
    </row>
    <row r="328" spans="20:21" x14ac:dyDescent="0.25">
      <c r="T328" s="4">
        <v>321</v>
      </c>
      <c r="U328" s="6">
        <v>389</v>
      </c>
    </row>
    <row r="329" spans="20:21" x14ac:dyDescent="0.25">
      <c r="T329" s="4">
        <v>322</v>
      </c>
      <c r="U329" s="6">
        <v>349</v>
      </c>
    </row>
    <row r="330" spans="20:21" x14ac:dyDescent="0.25">
      <c r="T330" s="4">
        <v>323</v>
      </c>
      <c r="U330" s="6">
        <v>286</v>
      </c>
    </row>
    <row r="331" spans="20:21" x14ac:dyDescent="0.25">
      <c r="T331" s="4">
        <v>324</v>
      </c>
      <c r="U331" s="6">
        <v>544</v>
      </c>
    </row>
    <row r="332" spans="20:21" x14ac:dyDescent="0.25">
      <c r="T332" s="4">
        <v>325</v>
      </c>
      <c r="U332" s="6">
        <v>417</v>
      </c>
    </row>
    <row r="333" spans="20:21" x14ac:dyDescent="0.25">
      <c r="T333" s="4">
        <v>326</v>
      </c>
      <c r="U333" s="6">
        <v>378</v>
      </c>
    </row>
    <row r="334" spans="20:21" x14ac:dyDescent="0.25">
      <c r="T334" s="4">
        <v>327</v>
      </c>
      <c r="U334" s="6">
        <v>541</v>
      </c>
    </row>
    <row r="335" spans="20:21" x14ac:dyDescent="0.25">
      <c r="T335" s="4">
        <v>328</v>
      </c>
      <c r="U335" s="6">
        <v>638</v>
      </c>
    </row>
    <row r="336" spans="20:21" x14ac:dyDescent="0.25">
      <c r="T336" s="4">
        <v>329</v>
      </c>
      <c r="U336" s="6">
        <v>430</v>
      </c>
    </row>
    <row r="337" spans="20:21" x14ac:dyDescent="0.25">
      <c r="T337" s="4">
        <v>330</v>
      </c>
      <c r="U337" s="6">
        <v>705</v>
      </c>
    </row>
    <row r="338" spans="20:21" x14ac:dyDescent="0.25">
      <c r="T338" s="4">
        <v>331</v>
      </c>
      <c r="U338" s="6">
        <v>682</v>
      </c>
    </row>
    <row r="339" spans="20:21" x14ac:dyDescent="0.25">
      <c r="T339" s="4">
        <v>332</v>
      </c>
      <c r="U339" s="6">
        <v>579</v>
      </c>
    </row>
    <row r="340" spans="20:21" x14ac:dyDescent="0.25">
      <c r="T340" s="4">
        <v>333</v>
      </c>
      <c r="U340" s="6">
        <v>717</v>
      </c>
    </row>
    <row r="341" spans="20:21" x14ac:dyDescent="0.25">
      <c r="T341" s="4">
        <v>334</v>
      </c>
      <c r="U341" s="6">
        <v>626</v>
      </c>
    </row>
    <row r="342" spans="20:21" x14ac:dyDescent="0.25">
      <c r="T342" s="4">
        <v>335</v>
      </c>
      <c r="U342" s="6">
        <v>385</v>
      </c>
    </row>
    <row r="343" spans="20:21" x14ac:dyDescent="0.25">
      <c r="T343" s="4">
        <v>336</v>
      </c>
      <c r="U343" s="6">
        <v>394</v>
      </c>
    </row>
    <row r="344" spans="20:21" x14ac:dyDescent="0.25">
      <c r="T344" s="4">
        <v>337</v>
      </c>
      <c r="U344" s="6">
        <v>642</v>
      </c>
    </row>
    <row r="345" spans="20:21" x14ac:dyDescent="0.25">
      <c r="T345" s="4">
        <v>338</v>
      </c>
      <c r="U345" s="6">
        <v>750</v>
      </c>
    </row>
    <row r="346" spans="20:21" x14ac:dyDescent="0.25">
      <c r="T346" s="4">
        <v>339</v>
      </c>
      <c r="U346" s="6">
        <v>605</v>
      </c>
    </row>
    <row r="347" spans="20:21" x14ac:dyDescent="0.25">
      <c r="T347" s="4">
        <v>340</v>
      </c>
      <c r="U347" s="6">
        <v>564</v>
      </c>
    </row>
    <row r="348" spans="20:21" x14ac:dyDescent="0.25">
      <c r="T348" s="4">
        <v>341</v>
      </c>
      <c r="U348" s="6">
        <v>672</v>
      </c>
    </row>
    <row r="349" spans="20:21" x14ac:dyDescent="0.25">
      <c r="T349" s="4">
        <v>342</v>
      </c>
      <c r="U349" s="6">
        <v>759</v>
      </c>
    </row>
    <row r="350" spans="20:21" x14ac:dyDescent="0.25">
      <c r="T350" s="4">
        <v>343</v>
      </c>
      <c r="U350" s="6">
        <v>507</v>
      </c>
    </row>
    <row r="351" spans="20:21" x14ac:dyDescent="0.25">
      <c r="T351" s="4">
        <v>344</v>
      </c>
      <c r="U351" s="6">
        <v>468</v>
      </c>
    </row>
    <row r="352" spans="20:21" x14ac:dyDescent="0.25">
      <c r="T352" s="4">
        <v>345</v>
      </c>
      <c r="U352" s="6">
        <v>349</v>
      </c>
    </row>
    <row r="353" spans="20:21" x14ac:dyDescent="0.25">
      <c r="T353" s="4">
        <v>346</v>
      </c>
      <c r="U353" s="6">
        <v>624</v>
      </c>
    </row>
    <row r="354" spans="20:21" x14ac:dyDescent="0.25">
      <c r="T354" s="4">
        <v>347</v>
      </c>
      <c r="U354" s="6">
        <v>468</v>
      </c>
    </row>
    <row r="355" spans="20:21" x14ac:dyDescent="0.25">
      <c r="T355" s="4">
        <v>348</v>
      </c>
      <c r="U355" s="6">
        <v>358</v>
      </c>
    </row>
    <row r="356" spans="20:21" x14ac:dyDescent="0.25">
      <c r="T356" s="4">
        <v>349</v>
      </c>
      <c r="U356" s="6">
        <v>605</v>
      </c>
    </row>
    <row r="357" spans="20:21" x14ac:dyDescent="0.25">
      <c r="T357" s="4">
        <v>350</v>
      </c>
      <c r="U357" s="6">
        <v>254</v>
      </c>
    </row>
    <row r="358" spans="20:21" x14ac:dyDescent="0.25">
      <c r="T358" s="4">
        <v>351</v>
      </c>
      <c r="U358" s="6">
        <v>482</v>
      </c>
    </row>
    <row r="359" spans="20:21" x14ac:dyDescent="0.25">
      <c r="T359" s="4">
        <v>352</v>
      </c>
      <c r="U359" s="6">
        <v>284</v>
      </c>
    </row>
    <row r="360" spans="20:21" x14ac:dyDescent="0.25">
      <c r="T360" s="4">
        <v>353</v>
      </c>
      <c r="U360" s="6">
        <v>413</v>
      </c>
    </row>
    <row r="361" spans="20:21" x14ac:dyDescent="0.25">
      <c r="T361" s="4">
        <v>354</v>
      </c>
      <c r="U361" s="6">
        <v>507</v>
      </c>
    </row>
    <row r="362" spans="20:21" x14ac:dyDescent="0.25">
      <c r="T362" s="4">
        <v>355</v>
      </c>
      <c r="U362" s="6">
        <v>590</v>
      </c>
    </row>
    <row r="363" spans="20:21" x14ac:dyDescent="0.25">
      <c r="T363" s="4">
        <v>356</v>
      </c>
      <c r="U363" s="6">
        <v>614</v>
      </c>
    </row>
    <row r="364" spans="20:21" x14ac:dyDescent="0.25">
      <c r="T364" s="4">
        <v>357</v>
      </c>
      <c r="U364" s="6">
        <v>263</v>
      </c>
    </row>
    <row r="365" spans="20:21" x14ac:dyDescent="0.25">
      <c r="T365" s="4">
        <v>358</v>
      </c>
      <c r="U365" s="6">
        <v>501</v>
      </c>
    </row>
    <row r="366" spans="20:21" x14ac:dyDescent="0.25">
      <c r="T366" s="4">
        <v>359</v>
      </c>
      <c r="U366" s="6">
        <v>692</v>
      </c>
    </row>
    <row r="367" spans="20:21" x14ac:dyDescent="0.25">
      <c r="T367" s="4">
        <v>360</v>
      </c>
      <c r="U367" s="6">
        <v>450</v>
      </c>
    </row>
    <row r="368" spans="20:21" x14ac:dyDescent="0.25">
      <c r="T368" s="4">
        <v>361</v>
      </c>
      <c r="U368" s="6">
        <v>646</v>
      </c>
    </row>
    <row r="369" spans="20:21" x14ac:dyDescent="0.25">
      <c r="T369" s="4">
        <v>362</v>
      </c>
      <c r="U369" s="6">
        <v>584</v>
      </c>
    </row>
    <row r="370" spans="20:21" x14ac:dyDescent="0.25">
      <c r="T370" s="4">
        <v>363</v>
      </c>
      <c r="U370" s="6">
        <v>415</v>
      </c>
    </row>
    <row r="371" spans="20:21" x14ac:dyDescent="0.25">
      <c r="T371" s="4">
        <v>364</v>
      </c>
      <c r="U371" s="6">
        <v>635</v>
      </c>
    </row>
    <row r="372" spans="20:21" ht="15.75" thickBot="1" x14ac:dyDescent="0.3">
      <c r="T372" s="7">
        <v>365</v>
      </c>
      <c r="U372" s="9">
        <v>245</v>
      </c>
    </row>
  </sheetData>
  <mergeCells count="17">
    <mergeCell ref="T5:U6"/>
    <mergeCell ref="G2:R6"/>
    <mergeCell ref="K11:P11"/>
    <mergeCell ref="K13:P13"/>
    <mergeCell ref="K15:P15"/>
    <mergeCell ref="B8:J9"/>
    <mergeCell ref="B2:F6"/>
    <mergeCell ref="C11:D12"/>
    <mergeCell ref="C14:D15"/>
    <mergeCell ref="K8:R9"/>
    <mergeCell ref="E11:F12"/>
    <mergeCell ref="E14:F15"/>
    <mergeCell ref="K17:P17"/>
    <mergeCell ref="Q11:R11"/>
    <mergeCell ref="Q13:R13"/>
    <mergeCell ref="Q15:R15"/>
    <mergeCell ref="Q17:R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Group Box 4">
              <controlPr defaultSize="0" autoFill="0" autoPict="0">
                <anchor moveWithCells="1">
                  <from>
                    <xdr:col>1</xdr:col>
                    <xdr:colOff>28575</xdr:colOff>
                    <xdr:row>16</xdr:row>
                    <xdr:rowOff>0</xdr:rowOff>
                  </from>
                  <to>
                    <xdr:col>5</xdr:col>
                    <xdr:colOff>9525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180975</xdr:rowOff>
                  </from>
                  <to>
                    <xdr:col>4</xdr:col>
                    <xdr:colOff>419100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3</xdr:col>
                    <xdr:colOff>114300</xdr:colOff>
                    <xdr:row>18</xdr:row>
                    <xdr:rowOff>66675</xdr:rowOff>
                  </from>
                  <to>
                    <xdr:col>4</xdr:col>
                    <xdr:colOff>419100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>
                <anchor moveWithCells="1">
                  <from>
                    <xdr:col>1</xdr:col>
                    <xdr:colOff>95250</xdr:colOff>
                    <xdr:row>16</xdr:row>
                    <xdr:rowOff>171450</xdr:rowOff>
                  </from>
                  <to>
                    <xdr:col>2</xdr:col>
                    <xdr:colOff>400050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Data_Insert_20Y7">
                <anchor moveWithCells="1" sizeWithCells="1">
                  <from>
                    <xdr:col>7</xdr:col>
                    <xdr:colOff>200025</xdr:colOff>
                    <xdr:row>11</xdr:row>
                    <xdr:rowOff>142875</xdr:rowOff>
                  </from>
                  <to>
                    <xdr:col>9</xdr:col>
                    <xdr:colOff>581025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Data_Insert_20Y8">
                <anchor moveWithCells="1" sizeWithCells="1">
                  <from>
                    <xdr:col>7</xdr:col>
                    <xdr:colOff>200025</xdr:colOff>
                    <xdr:row>13</xdr:row>
                    <xdr:rowOff>142875</xdr:rowOff>
                  </from>
                  <to>
                    <xdr:col>9</xdr:col>
                    <xdr:colOff>581025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Data_Insert_20Y9">
                <anchor moveWithCells="1" sizeWithCells="1">
                  <from>
                    <xdr:col>7</xdr:col>
                    <xdr:colOff>200025</xdr:colOff>
                    <xdr:row>15</xdr:row>
                    <xdr:rowOff>142875</xdr:rowOff>
                  </from>
                  <to>
                    <xdr:col>9</xdr:col>
                    <xdr:colOff>581025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Data_Insert_NEW_DATA">
                <anchor moveWithCells="1" sizeWithCells="1">
                  <from>
                    <xdr:col>7</xdr:col>
                    <xdr:colOff>200025</xdr:colOff>
                    <xdr:row>17</xdr:row>
                    <xdr:rowOff>152400</xdr:rowOff>
                  </from>
                  <to>
                    <xdr:col>9</xdr:col>
                    <xdr:colOff>581025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Spinner 12">
              <controlPr defaultSize="0" autoPict="0">
                <anchor moveWithCells="1" sizeWithCells="1">
                  <from>
                    <xdr:col>6</xdr:col>
                    <xdr:colOff>9525</xdr:colOff>
                    <xdr:row>9</xdr:row>
                    <xdr:rowOff>190500</xdr:rowOff>
                  </from>
                  <to>
                    <xdr:col>6</xdr:col>
                    <xdr:colOff>523875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Spinner 13">
              <controlPr defaultSize="0" autoPict="0">
                <anchor moveWithCells="1" sizeWithCells="1">
                  <from>
                    <xdr:col>6</xdr:col>
                    <xdr:colOff>9525</xdr:colOff>
                    <xdr:row>12</xdr:row>
                    <xdr:rowOff>190500</xdr:rowOff>
                  </from>
                  <to>
                    <xdr:col>6</xdr:col>
                    <xdr:colOff>523875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12DB7-9E5C-4135-AEA2-4312E7E49818}">
  <sheetPr codeName="Sheet2"/>
  <dimension ref="B1:S16"/>
  <sheetViews>
    <sheetView workbookViewId="0">
      <selection activeCell="I25" sqref="I25"/>
    </sheetView>
  </sheetViews>
  <sheetFormatPr defaultRowHeight="15" x14ac:dyDescent="0.25"/>
  <cols>
    <col min="1" max="1" width="2.7109375" customWidth="1"/>
    <col min="2" max="4" width="9.7109375" customWidth="1"/>
    <col min="8" max="8" width="25.7109375" bestFit="1" customWidth="1"/>
    <col min="9" max="9" width="19.140625" bestFit="1" customWidth="1"/>
    <col min="10" max="10" width="11.85546875" bestFit="1" customWidth="1"/>
    <col min="14" max="14" width="8.42578125" bestFit="1" customWidth="1"/>
    <col min="15" max="15" width="9.85546875" bestFit="1" customWidth="1"/>
    <col min="16" max="16" width="16.5703125" bestFit="1" customWidth="1"/>
    <col min="17" max="17" width="15.5703125" bestFit="1" customWidth="1"/>
    <col min="18" max="18" width="12.140625" bestFit="1" customWidth="1"/>
    <col min="19" max="19" width="15.5703125" bestFit="1" customWidth="1"/>
    <col min="20" max="20" width="10.28515625" bestFit="1" customWidth="1"/>
  </cols>
  <sheetData>
    <row r="1" spans="2:19" ht="15.75" thickBot="1" x14ac:dyDescent="0.3"/>
    <row r="2" spans="2:19" x14ac:dyDescent="0.25">
      <c r="B2" s="74"/>
      <c r="C2" s="75"/>
      <c r="D2" s="75"/>
      <c r="E2" s="75"/>
      <c r="F2" s="76"/>
      <c r="G2" s="59" t="s">
        <v>7</v>
      </c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10"/>
    </row>
    <row r="3" spans="2:19" x14ac:dyDescent="0.25">
      <c r="B3" s="77"/>
      <c r="C3" s="78"/>
      <c r="D3" s="78"/>
      <c r="E3" s="78"/>
      <c r="F3" s="79"/>
      <c r="G3" s="111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3"/>
    </row>
    <row r="4" spans="2:19" x14ac:dyDescent="0.25">
      <c r="B4" s="77"/>
      <c r="C4" s="78"/>
      <c r="D4" s="78"/>
      <c r="E4" s="78"/>
      <c r="F4" s="79"/>
      <c r="G4" s="111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3"/>
    </row>
    <row r="5" spans="2:19" x14ac:dyDescent="0.25">
      <c r="B5" s="77"/>
      <c r="C5" s="78"/>
      <c r="D5" s="78"/>
      <c r="E5" s="78"/>
      <c r="F5" s="79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3"/>
    </row>
    <row r="6" spans="2:19" ht="15.75" thickBot="1" x14ac:dyDescent="0.3">
      <c r="B6" s="80"/>
      <c r="C6" s="81"/>
      <c r="D6" s="81"/>
      <c r="E6" s="81"/>
      <c r="F6" s="82"/>
      <c r="G6" s="114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6"/>
    </row>
    <row r="7" spans="2:19" ht="15.75" thickBot="1" x14ac:dyDescent="0.3"/>
    <row r="8" spans="2:19" ht="15.75" thickBot="1" x14ac:dyDescent="0.3">
      <c r="H8" s="85" t="s">
        <v>26</v>
      </c>
      <c r="I8" s="86"/>
      <c r="J8" s="87"/>
    </row>
    <row r="9" spans="2:19" ht="15.75" thickBot="1" x14ac:dyDescent="0.3">
      <c r="B9" s="91" t="s">
        <v>23</v>
      </c>
      <c r="C9" s="92"/>
      <c r="D9" s="93"/>
      <c r="E9" s="117">
        <v>75</v>
      </c>
      <c r="F9" s="118"/>
      <c r="H9" s="88"/>
      <c r="I9" s="89"/>
      <c r="J9" s="90"/>
    </row>
    <row r="10" spans="2:19" ht="15.75" thickBot="1" x14ac:dyDescent="0.3">
      <c r="B10" s="94"/>
      <c r="C10" s="95"/>
      <c r="D10" s="96"/>
      <c r="E10" s="119"/>
      <c r="F10" s="120"/>
      <c r="H10" s="10" t="s">
        <v>27</v>
      </c>
      <c r="I10" s="36" t="s">
        <v>28</v>
      </c>
      <c r="J10" s="11" t="s">
        <v>29</v>
      </c>
    </row>
    <row r="11" spans="2:19" x14ac:dyDescent="0.25">
      <c r="B11" s="91" t="s">
        <v>24</v>
      </c>
      <c r="C11" s="92"/>
      <c r="D11" s="93"/>
      <c r="E11" s="97">
        <v>0.4</v>
      </c>
      <c r="F11" s="98"/>
      <c r="H11" s="1">
        <v>1</v>
      </c>
      <c r="I11" s="2">
        <v>1000</v>
      </c>
      <c r="J11" s="33">
        <v>375</v>
      </c>
    </row>
    <row r="12" spans="2:19" ht="15.75" thickBot="1" x14ac:dyDescent="0.3">
      <c r="B12" s="94"/>
      <c r="C12" s="95"/>
      <c r="D12" s="96"/>
      <c r="E12" s="99"/>
      <c r="F12" s="100"/>
      <c r="H12" s="4">
        <v>1001</v>
      </c>
      <c r="I12" s="5">
        <v>2500</v>
      </c>
      <c r="J12" s="34">
        <v>250</v>
      </c>
    </row>
    <row r="13" spans="2:19" x14ac:dyDescent="0.25">
      <c r="B13" s="91" t="s">
        <v>41</v>
      </c>
      <c r="C13" s="92"/>
      <c r="D13" s="93"/>
      <c r="E13" s="101">
        <f>(E9*E11)/365</f>
        <v>8.2191780821917804E-2</v>
      </c>
      <c r="F13" s="102"/>
      <c r="H13" s="4">
        <v>2501</v>
      </c>
      <c r="I13" s="5">
        <v>5000</v>
      </c>
      <c r="J13" s="34">
        <v>175</v>
      </c>
    </row>
    <row r="14" spans="2:19" ht="15.75" thickBot="1" x14ac:dyDescent="0.3">
      <c r="B14" s="94"/>
      <c r="C14" s="95"/>
      <c r="D14" s="96"/>
      <c r="E14" s="103"/>
      <c r="F14" s="104"/>
      <c r="H14" s="7">
        <v>5001</v>
      </c>
      <c r="I14" s="8" t="s">
        <v>30</v>
      </c>
      <c r="J14" s="35">
        <v>150</v>
      </c>
    </row>
    <row r="15" spans="2:19" x14ac:dyDescent="0.25">
      <c r="B15" s="91" t="s">
        <v>25</v>
      </c>
      <c r="C15" s="92"/>
      <c r="D15" s="93"/>
      <c r="E15" s="105">
        <v>1500</v>
      </c>
      <c r="F15" s="106"/>
    </row>
    <row r="16" spans="2:19" ht="15.75" thickBot="1" x14ac:dyDescent="0.3">
      <c r="B16" s="94"/>
      <c r="C16" s="95"/>
      <c r="D16" s="96"/>
      <c r="E16" s="107"/>
      <c r="F16" s="108"/>
    </row>
  </sheetData>
  <mergeCells count="11">
    <mergeCell ref="B15:D16"/>
    <mergeCell ref="E15:F16"/>
    <mergeCell ref="B2:F6"/>
    <mergeCell ref="G2:S6"/>
    <mergeCell ref="B9:D10"/>
    <mergeCell ref="E9:F10"/>
    <mergeCell ref="H8:J9"/>
    <mergeCell ref="B11:D12"/>
    <mergeCell ref="E11:F12"/>
    <mergeCell ref="B13:D14"/>
    <mergeCell ref="E13:F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09622-1C6B-4BF7-BBDA-27D0B3E4CC98}">
  <sheetPr codeName="Sheet3"/>
  <dimension ref="B1:AA374"/>
  <sheetViews>
    <sheetView topLeftCell="B1" workbookViewId="0">
      <selection activeCell="H21" sqref="H21"/>
    </sheetView>
  </sheetViews>
  <sheetFormatPr defaultRowHeight="15" x14ac:dyDescent="0.25"/>
  <cols>
    <col min="1" max="1" width="2.7109375" customWidth="1"/>
    <col min="15" max="15" width="6.42578125" bestFit="1" customWidth="1"/>
    <col min="16" max="16" width="17.42578125" bestFit="1" customWidth="1"/>
    <col min="17" max="18" width="11.5703125" bestFit="1" customWidth="1"/>
    <col min="19" max="19" width="17.140625" bestFit="1" customWidth="1"/>
    <col min="20" max="20" width="16.42578125" bestFit="1" customWidth="1"/>
    <col min="21" max="21" width="15.28515625" bestFit="1" customWidth="1"/>
    <col min="22" max="22" width="16" bestFit="1" customWidth="1"/>
    <col min="23" max="23" width="10.85546875" bestFit="1" customWidth="1"/>
    <col min="24" max="24" width="2.7109375" customWidth="1"/>
    <col min="25" max="25" width="17.28515625" bestFit="1" customWidth="1"/>
    <col min="26" max="26" width="8.5703125" bestFit="1" customWidth="1"/>
    <col min="27" max="27" width="13.7109375" bestFit="1" customWidth="1"/>
  </cols>
  <sheetData>
    <row r="1" spans="2:27" ht="15.75" thickBot="1" x14ac:dyDescent="0.3"/>
    <row r="2" spans="2:27" x14ac:dyDescent="0.25">
      <c r="B2" s="74"/>
      <c r="C2" s="75"/>
      <c r="D2" s="75"/>
      <c r="E2" s="75"/>
      <c r="F2" s="59" t="s">
        <v>6</v>
      </c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10"/>
    </row>
    <row r="3" spans="2:27" x14ac:dyDescent="0.25">
      <c r="B3" s="77"/>
      <c r="C3" s="78"/>
      <c r="D3" s="78"/>
      <c r="E3" s="78"/>
      <c r="F3" s="111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3"/>
    </row>
    <row r="4" spans="2:27" x14ac:dyDescent="0.25">
      <c r="B4" s="77"/>
      <c r="C4" s="78"/>
      <c r="D4" s="78"/>
      <c r="E4" s="78"/>
      <c r="F4" s="111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3"/>
    </row>
    <row r="5" spans="2:27" x14ac:dyDescent="0.25">
      <c r="B5" s="77"/>
      <c r="C5" s="78"/>
      <c r="D5" s="78"/>
      <c r="E5" s="78"/>
      <c r="F5" s="111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3"/>
    </row>
    <row r="6" spans="2:27" ht="15.75" thickBot="1" x14ac:dyDescent="0.3">
      <c r="B6" s="80"/>
      <c r="C6" s="81"/>
      <c r="D6" s="81"/>
      <c r="E6" s="81"/>
      <c r="F6" s="114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6"/>
    </row>
    <row r="7" spans="2:27" ht="15.75" thickBot="1" x14ac:dyDescent="0.3"/>
    <row r="8" spans="2:27" ht="15.75" thickBot="1" x14ac:dyDescent="0.3">
      <c r="B8" s="74" t="s">
        <v>10</v>
      </c>
      <c r="C8" s="75"/>
      <c r="D8" s="137"/>
      <c r="F8" s="121" t="s">
        <v>22</v>
      </c>
      <c r="G8" s="122"/>
      <c r="H8" s="122"/>
      <c r="I8" s="122"/>
      <c r="J8" s="122"/>
      <c r="K8" s="122"/>
      <c r="L8" s="122"/>
      <c r="M8" s="123"/>
      <c r="O8" s="37" t="s">
        <v>0</v>
      </c>
      <c r="P8" s="38" t="s">
        <v>37</v>
      </c>
      <c r="Q8" s="38" t="s">
        <v>16</v>
      </c>
      <c r="R8" s="38" t="s">
        <v>31</v>
      </c>
      <c r="S8" s="38" t="s">
        <v>32</v>
      </c>
      <c r="T8" s="38" t="s">
        <v>33</v>
      </c>
      <c r="U8" s="38" t="s">
        <v>34</v>
      </c>
      <c r="V8" s="38" t="s">
        <v>35</v>
      </c>
      <c r="W8" s="39" t="s">
        <v>36</v>
      </c>
      <c r="Y8" s="49" t="s">
        <v>33</v>
      </c>
      <c r="Z8" s="38" t="s">
        <v>16</v>
      </c>
      <c r="AA8" s="39" t="s">
        <v>39</v>
      </c>
    </row>
    <row r="9" spans="2:27" ht="15.75" thickBot="1" x14ac:dyDescent="0.3">
      <c r="B9" s="138" t="s">
        <v>11</v>
      </c>
      <c r="C9" s="139"/>
      <c r="D9" s="14" t="b">
        <v>1</v>
      </c>
      <c r="F9" s="124"/>
      <c r="G9" s="125"/>
      <c r="H9" s="125"/>
      <c r="I9" s="125"/>
      <c r="J9" s="125"/>
      <c r="K9" s="125"/>
      <c r="L9" s="125"/>
      <c r="M9" s="126"/>
      <c r="O9" s="1">
        <v>1</v>
      </c>
      <c r="P9" s="1">
        <f>'Constants Sheet'!E15</f>
        <v>1500</v>
      </c>
      <c r="Q9" s="2">
        <f>'Manager Sheet'!U8</f>
        <v>493</v>
      </c>
      <c r="R9" s="2">
        <f>IF(P9&gt;Q9,Q9,P9)</f>
        <v>493</v>
      </c>
      <c r="S9" s="2">
        <f>Q9-R9</f>
        <v>0</v>
      </c>
      <c r="T9" s="2">
        <f>P9-R9</f>
        <v>1007</v>
      </c>
      <c r="U9" s="43">
        <f>T9*'Constants Sheet'!$E$13</f>
        <v>82.767123287671225</v>
      </c>
      <c r="V9" s="44">
        <f>IF(T9&lt;'Manager Sheet'!$E$11,'Manager Sheet'!$E$14,0)</f>
        <v>0</v>
      </c>
      <c r="W9" s="41">
        <f>IFERROR(VLOOKUP(V9,'Constants Sheet'!$H$11:$J$14,3,TRUE),0)</f>
        <v>0</v>
      </c>
      <c r="Y9" s="12">
        <f>IF($D$10,T9,NA())</f>
        <v>1007</v>
      </c>
      <c r="Z9" s="13">
        <f>IF($D$9,Q9,NA())</f>
        <v>493</v>
      </c>
      <c r="AA9" s="14">
        <f>IF('Calculation Sheet'!$D$11,'Manager Sheet'!$E$11,NA())</f>
        <v>200</v>
      </c>
    </row>
    <row r="10" spans="2:27" ht="15.75" thickBot="1" x14ac:dyDescent="0.3">
      <c r="B10" s="140" t="s">
        <v>12</v>
      </c>
      <c r="C10" s="141"/>
      <c r="D10" s="16" t="b">
        <v>1</v>
      </c>
      <c r="F10" s="132" t="s">
        <v>18</v>
      </c>
      <c r="G10" s="51"/>
      <c r="H10" s="51"/>
      <c r="I10" s="51"/>
      <c r="J10" s="51"/>
      <c r="K10" s="51"/>
      <c r="L10" s="133">
        <f>SUM(U9:U373)</f>
        <v>67339.8082191781</v>
      </c>
      <c r="M10" s="134"/>
      <c r="O10" s="4">
        <v>2</v>
      </c>
      <c r="P10" s="4">
        <f>T9+V9</f>
        <v>1007</v>
      </c>
      <c r="Q10" s="5">
        <f>'Manager Sheet'!U9</f>
        <v>540</v>
      </c>
      <c r="R10" s="5">
        <f t="shared" ref="R10:R73" si="0">IF(P10&gt;Q10,Q10,P10)</f>
        <v>540</v>
      </c>
      <c r="S10" s="5">
        <f t="shared" ref="S10:S73" si="1">Q10-R10</f>
        <v>0</v>
      </c>
      <c r="T10" s="5">
        <f t="shared" ref="T10:T73" si="2">P10-R10</f>
        <v>467</v>
      </c>
      <c r="U10" s="42">
        <f>T10*'Constants Sheet'!$E$13</f>
        <v>38.383561643835613</v>
      </c>
      <c r="V10" s="40">
        <f>IF(T10&lt;'Manager Sheet'!$E$11,'Manager Sheet'!$E$14,0)</f>
        <v>0</v>
      </c>
      <c r="W10" s="45">
        <f>IFERROR(VLOOKUP(V10,'Constants Sheet'!$H$11:$J$14,3,TRUE),0)</f>
        <v>0</v>
      </c>
      <c r="Y10" s="15">
        <f t="shared" ref="Y10:Y73" si="3">IF($D$10,T10,NA())</f>
        <v>467</v>
      </c>
      <c r="Z10">
        <f t="shared" ref="Z10:Z73" si="4">IF($D$9,Q10,NA())</f>
        <v>540</v>
      </c>
      <c r="AA10" s="16">
        <f>IF('Calculation Sheet'!$D$11,'Manager Sheet'!$E$11,NA())</f>
        <v>200</v>
      </c>
    </row>
    <row r="11" spans="2:27" ht="15.75" thickBot="1" x14ac:dyDescent="0.3">
      <c r="B11" s="142" t="s">
        <v>13</v>
      </c>
      <c r="C11" s="143"/>
      <c r="D11" s="19" t="b">
        <v>1</v>
      </c>
      <c r="F11" s="30"/>
      <c r="G11" s="31"/>
      <c r="H11" s="31"/>
      <c r="I11" s="31"/>
      <c r="J11" s="31"/>
      <c r="K11" s="31"/>
      <c r="L11" s="25"/>
      <c r="M11" s="26"/>
      <c r="O11" s="4">
        <v>3</v>
      </c>
      <c r="P11" s="4">
        <f t="shared" ref="P11:P74" si="5">T10+V10</f>
        <v>467</v>
      </c>
      <c r="Q11" s="5">
        <f>'Manager Sheet'!U10</f>
        <v>345</v>
      </c>
      <c r="R11" s="5">
        <f t="shared" si="0"/>
        <v>345</v>
      </c>
      <c r="S11" s="5">
        <f t="shared" si="1"/>
        <v>0</v>
      </c>
      <c r="T11" s="5">
        <f t="shared" si="2"/>
        <v>122</v>
      </c>
      <c r="U11" s="42">
        <f>T11*'Constants Sheet'!$E$13</f>
        <v>10.027397260273972</v>
      </c>
      <c r="V11" s="40">
        <f>IF(T11&lt;'Manager Sheet'!$E$11,'Manager Sheet'!$E$14,0)</f>
        <v>5000</v>
      </c>
      <c r="W11" s="45">
        <f>IFERROR(VLOOKUP(V11,'Constants Sheet'!$H$11:$J$14,3,TRUE),0)</f>
        <v>175</v>
      </c>
      <c r="Y11" s="15">
        <f t="shared" si="3"/>
        <v>122</v>
      </c>
      <c r="Z11">
        <f t="shared" si="4"/>
        <v>345</v>
      </c>
      <c r="AA11" s="16">
        <f>IF('Calculation Sheet'!$D$11,'Manager Sheet'!$E$11,NA())</f>
        <v>200</v>
      </c>
    </row>
    <row r="12" spans="2:27" ht="15.75" thickBot="1" x14ac:dyDescent="0.3">
      <c r="F12" s="132" t="s">
        <v>19</v>
      </c>
      <c r="G12" s="51"/>
      <c r="H12" s="51"/>
      <c r="I12" s="51"/>
      <c r="J12" s="51"/>
      <c r="K12" s="51"/>
      <c r="L12" s="133">
        <f>SUM(W9:W373)</f>
        <v>6300</v>
      </c>
      <c r="M12" s="134"/>
      <c r="O12" s="4">
        <v>4</v>
      </c>
      <c r="P12" s="4">
        <f t="shared" si="5"/>
        <v>5122</v>
      </c>
      <c r="Q12" s="5">
        <f>'Manager Sheet'!U11</f>
        <v>556</v>
      </c>
      <c r="R12" s="5">
        <f t="shared" si="0"/>
        <v>556</v>
      </c>
      <c r="S12" s="5">
        <f t="shared" si="1"/>
        <v>0</v>
      </c>
      <c r="T12" s="5">
        <f t="shared" si="2"/>
        <v>4566</v>
      </c>
      <c r="U12" s="42">
        <f>T12*'Constants Sheet'!$E$13</f>
        <v>375.28767123287668</v>
      </c>
      <c r="V12" s="40">
        <f>IF(T12&lt;'Manager Sheet'!$E$11,'Manager Sheet'!$E$14,0)</f>
        <v>0</v>
      </c>
      <c r="W12" s="45">
        <f>IFERROR(VLOOKUP(V12,'Constants Sheet'!$H$11:$J$14,3,TRUE),0)</f>
        <v>0</v>
      </c>
      <c r="Y12" s="15">
        <f t="shared" si="3"/>
        <v>4566</v>
      </c>
      <c r="Z12">
        <f t="shared" si="4"/>
        <v>556</v>
      </c>
      <c r="AA12" s="16">
        <f>IF('Calculation Sheet'!$D$11,'Manager Sheet'!$E$11,NA())</f>
        <v>200</v>
      </c>
    </row>
    <row r="13" spans="2:27" ht="15.75" thickBot="1" x14ac:dyDescent="0.3">
      <c r="F13" s="30"/>
      <c r="G13" s="31"/>
      <c r="H13" s="31"/>
      <c r="I13" s="31"/>
      <c r="J13" s="31"/>
      <c r="K13" s="31"/>
      <c r="L13" s="25"/>
      <c r="M13" s="26"/>
      <c r="O13" s="4">
        <v>5</v>
      </c>
      <c r="P13" s="4">
        <f t="shared" si="5"/>
        <v>4566</v>
      </c>
      <c r="Q13" s="5">
        <f>'Manager Sheet'!U12</f>
        <v>474</v>
      </c>
      <c r="R13" s="5">
        <f t="shared" si="0"/>
        <v>474</v>
      </c>
      <c r="S13" s="5">
        <f t="shared" si="1"/>
        <v>0</v>
      </c>
      <c r="T13" s="5">
        <f t="shared" si="2"/>
        <v>4092</v>
      </c>
      <c r="U13" s="42">
        <f>T13*'Constants Sheet'!$E$13</f>
        <v>336.32876712328766</v>
      </c>
      <c r="V13" s="40">
        <f>IF(T13&lt;'Manager Sheet'!$E$11,'Manager Sheet'!$E$14,0)</f>
        <v>0</v>
      </c>
      <c r="W13" s="45">
        <f>IFERROR(VLOOKUP(V13,'Constants Sheet'!$H$11:$J$14,3,TRUE),0)</f>
        <v>0</v>
      </c>
      <c r="Y13" s="15">
        <f t="shared" si="3"/>
        <v>4092</v>
      </c>
      <c r="Z13">
        <f t="shared" si="4"/>
        <v>474</v>
      </c>
      <c r="AA13" s="16">
        <f>IF('Calculation Sheet'!$D$11,'Manager Sheet'!$E$11,NA())</f>
        <v>200</v>
      </c>
    </row>
    <row r="14" spans="2:27" ht="15.75" thickBot="1" x14ac:dyDescent="0.3">
      <c r="F14" s="132" t="s">
        <v>20</v>
      </c>
      <c r="G14" s="51"/>
      <c r="H14" s="51"/>
      <c r="I14" s="51"/>
      <c r="J14" s="51"/>
      <c r="K14" s="51"/>
      <c r="L14" s="133">
        <f>SUM(L12,L10)</f>
        <v>73639.8082191781</v>
      </c>
      <c r="M14" s="134"/>
      <c r="O14" s="4">
        <v>6</v>
      </c>
      <c r="P14" s="4">
        <f t="shared" si="5"/>
        <v>4092</v>
      </c>
      <c r="Q14" s="5">
        <f>'Manager Sheet'!U13</f>
        <v>416</v>
      </c>
      <c r="R14" s="5">
        <f t="shared" si="0"/>
        <v>416</v>
      </c>
      <c r="S14" s="5">
        <f t="shared" si="1"/>
        <v>0</v>
      </c>
      <c r="T14" s="5">
        <f t="shared" si="2"/>
        <v>3676</v>
      </c>
      <c r="U14" s="42">
        <f>T14*'Constants Sheet'!$E$13</f>
        <v>302.13698630136986</v>
      </c>
      <c r="V14" s="40">
        <f>IF(T14&lt;'Manager Sheet'!$E$11,'Manager Sheet'!$E$14,0)</f>
        <v>0</v>
      </c>
      <c r="W14" s="45">
        <f>IFERROR(VLOOKUP(V14,'Constants Sheet'!$H$11:$J$14,3,TRUE),0)</f>
        <v>0</v>
      </c>
      <c r="Y14" s="15">
        <f t="shared" si="3"/>
        <v>3676</v>
      </c>
      <c r="Z14">
        <f t="shared" si="4"/>
        <v>416</v>
      </c>
      <c r="AA14" s="16">
        <f>IF('Calculation Sheet'!$D$11,'Manager Sheet'!$E$11,NA())</f>
        <v>200</v>
      </c>
    </row>
    <row r="15" spans="2:27" ht="15.75" thickBot="1" x14ac:dyDescent="0.3">
      <c r="F15" s="30"/>
      <c r="G15" s="31"/>
      <c r="H15" s="31"/>
      <c r="I15" s="31"/>
      <c r="J15" s="31"/>
      <c r="K15" s="31"/>
      <c r="L15" s="25"/>
      <c r="M15" s="26"/>
      <c r="O15" s="4">
        <v>7</v>
      </c>
      <c r="P15" s="4">
        <f t="shared" si="5"/>
        <v>3676</v>
      </c>
      <c r="Q15" s="5">
        <f>'Manager Sheet'!U14</f>
        <v>295</v>
      </c>
      <c r="R15" s="5">
        <f t="shared" si="0"/>
        <v>295</v>
      </c>
      <c r="S15" s="5">
        <f t="shared" si="1"/>
        <v>0</v>
      </c>
      <c r="T15" s="5">
        <f t="shared" si="2"/>
        <v>3381</v>
      </c>
      <c r="U15" s="42">
        <f>T15*'Constants Sheet'!$E$13</f>
        <v>277.89041095890411</v>
      </c>
      <c r="V15" s="40">
        <f>IF(T15&lt;'Manager Sheet'!$E$11,'Manager Sheet'!$E$14,0)</f>
        <v>0</v>
      </c>
      <c r="W15" s="45">
        <f>IFERROR(VLOOKUP(V15,'Constants Sheet'!$H$11:$J$14,3,TRUE),0)</f>
        <v>0</v>
      </c>
      <c r="Y15" s="15">
        <f t="shared" si="3"/>
        <v>3381</v>
      </c>
      <c r="Z15">
        <f t="shared" si="4"/>
        <v>295</v>
      </c>
      <c r="AA15" s="16">
        <f>IF('Calculation Sheet'!$D$11,'Manager Sheet'!$E$11,NA())</f>
        <v>200</v>
      </c>
    </row>
    <row r="16" spans="2:27" ht="15.75" thickBot="1" x14ac:dyDescent="0.3">
      <c r="F16" s="132" t="s">
        <v>21</v>
      </c>
      <c r="G16" s="51"/>
      <c r="H16" s="51"/>
      <c r="I16" s="51"/>
      <c r="J16" s="51"/>
      <c r="K16" s="51"/>
      <c r="L16" s="135">
        <f>S374/Q374</f>
        <v>2.6555655320654098E-2</v>
      </c>
      <c r="M16" s="136"/>
      <c r="O16" s="4">
        <v>8</v>
      </c>
      <c r="P16" s="4">
        <f t="shared" si="5"/>
        <v>3381</v>
      </c>
      <c r="Q16" s="5">
        <f>'Manager Sheet'!U15</f>
        <v>324</v>
      </c>
      <c r="R16" s="5">
        <f t="shared" si="0"/>
        <v>324</v>
      </c>
      <c r="S16" s="5">
        <f t="shared" si="1"/>
        <v>0</v>
      </c>
      <c r="T16" s="5">
        <f t="shared" si="2"/>
        <v>3057</v>
      </c>
      <c r="U16" s="42">
        <f>T16*'Constants Sheet'!$E$13</f>
        <v>251.26027397260273</v>
      </c>
      <c r="V16" s="40">
        <f>IF(T16&lt;'Manager Sheet'!$E$11,'Manager Sheet'!$E$14,0)</f>
        <v>0</v>
      </c>
      <c r="W16" s="45">
        <f>IFERROR(VLOOKUP(V16,'Constants Sheet'!$H$11:$J$14,3,TRUE),0)</f>
        <v>0</v>
      </c>
      <c r="Y16" s="15">
        <f t="shared" si="3"/>
        <v>3057</v>
      </c>
      <c r="Z16">
        <f t="shared" si="4"/>
        <v>324</v>
      </c>
      <c r="AA16" s="16">
        <f>IF('Calculation Sheet'!$D$11,'Manager Sheet'!$E$11,NA())</f>
        <v>200</v>
      </c>
    </row>
    <row r="17" spans="2:27" ht="15.75" thickBot="1" x14ac:dyDescent="0.3">
      <c r="O17" s="4">
        <v>9</v>
      </c>
      <c r="P17" s="4">
        <f t="shared" si="5"/>
        <v>3057</v>
      </c>
      <c r="Q17" s="5">
        <f>'Manager Sheet'!U16</f>
        <v>610</v>
      </c>
      <c r="R17" s="5">
        <f t="shared" si="0"/>
        <v>610</v>
      </c>
      <c r="S17" s="5">
        <f t="shared" si="1"/>
        <v>0</v>
      </c>
      <c r="T17" s="5">
        <f t="shared" si="2"/>
        <v>2447</v>
      </c>
      <c r="U17" s="42">
        <f>T17*'Constants Sheet'!$E$13</f>
        <v>201.12328767123287</v>
      </c>
      <c r="V17" s="40">
        <f>IF(T17&lt;'Manager Sheet'!$E$11,'Manager Sheet'!$E$14,0)</f>
        <v>0</v>
      </c>
      <c r="W17" s="45">
        <f>IFERROR(VLOOKUP(V17,'Constants Sheet'!$H$11:$J$14,3,TRUE),0)</f>
        <v>0</v>
      </c>
      <c r="Y17" s="15">
        <f t="shared" si="3"/>
        <v>2447</v>
      </c>
      <c r="Z17">
        <f t="shared" si="4"/>
        <v>610</v>
      </c>
      <c r="AA17" s="16">
        <f>IF('Calculation Sheet'!$D$11,'Manager Sheet'!$E$11,NA())</f>
        <v>200</v>
      </c>
    </row>
    <row r="18" spans="2:27" ht="15.75" thickBot="1" x14ac:dyDescent="0.3">
      <c r="B18" s="130" t="s">
        <v>40</v>
      </c>
      <c r="C18" s="131"/>
      <c r="D18" s="127" t="str">
        <f>IF(AND(D9:D10),"Delta Distributors: " &amp; "Demand &amp; Ending Inventory" &amp; " Trend",
IF(D9,"Delta Distributors " &amp; "Demand " &amp; " Trend Graph",
IF(D10,"Delta Distributors " &amp; "Ending Inventory" &amp; " Trend Graph",NA())))</f>
        <v>Delta Distributors: Demand &amp; Ending Inventory Trend</v>
      </c>
      <c r="E18" s="128"/>
      <c r="F18" s="128"/>
      <c r="G18" s="128"/>
      <c r="H18" s="128"/>
      <c r="I18" s="129"/>
      <c r="O18" s="4">
        <v>10</v>
      </c>
      <c r="P18" s="4">
        <f t="shared" si="5"/>
        <v>2447</v>
      </c>
      <c r="Q18" s="5">
        <f>'Manager Sheet'!U17</f>
        <v>548</v>
      </c>
      <c r="R18" s="5">
        <f t="shared" si="0"/>
        <v>548</v>
      </c>
      <c r="S18" s="5">
        <f t="shared" si="1"/>
        <v>0</v>
      </c>
      <c r="T18" s="5">
        <f t="shared" si="2"/>
        <v>1899</v>
      </c>
      <c r="U18" s="42">
        <f>T18*'Constants Sheet'!$E$13</f>
        <v>156.08219178082192</v>
      </c>
      <c r="V18" s="40">
        <f>IF(T18&lt;'Manager Sheet'!$E$11,'Manager Sheet'!$E$14,0)</f>
        <v>0</v>
      </c>
      <c r="W18" s="45">
        <f>IFERROR(VLOOKUP(V18,'Constants Sheet'!$H$11:$J$14,3,TRUE),0)</f>
        <v>0</v>
      </c>
      <c r="Y18" s="15">
        <f t="shared" si="3"/>
        <v>1899</v>
      </c>
      <c r="Z18">
        <f t="shared" si="4"/>
        <v>548</v>
      </c>
      <c r="AA18" s="16">
        <f>IF('Calculation Sheet'!$D$11,'Manager Sheet'!$E$11,NA())</f>
        <v>200</v>
      </c>
    </row>
    <row r="19" spans="2:27" x14ac:dyDescent="0.25">
      <c r="O19" s="4">
        <v>11</v>
      </c>
      <c r="P19" s="4">
        <f t="shared" si="5"/>
        <v>1899</v>
      </c>
      <c r="Q19" s="5">
        <f>'Manager Sheet'!U18</f>
        <v>467</v>
      </c>
      <c r="R19" s="5">
        <f t="shared" si="0"/>
        <v>467</v>
      </c>
      <c r="S19" s="5">
        <f t="shared" si="1"/>
        <v>0</v>
      </c>
      <c r="T19" s="5">
        <f t="shared" si="2"/>
        <v>1432</v>
      </c>
      <c r="U19" s="42">
        <f>T19*'Constants Sheet'!$E$13</f>
        <v>117.6986301369863</v>
      </c>
      <c r="V19" s="40">
        <f>IF(T19&lt;'Manager Sheet'!$E$11,'Manager Sheet'!$E$14,0)</f>
        <v>0</v>
      </c>
      <c r="W19" s="45">
        <f>IFERROR(VLOOKUP(V19,'Constants Sheet'!$H$11:$J$14,3,TRUE),0)</f>
        <v>0</v>
      </c>
      <c r="Y19" s="15">
        <f t="shared" si="3"/>
        <v>1432</v>
      </c>
      <c r="Z19">
        <f t="shared" si="4"/>
        <v>467</v>
      </c>
      <c r="AA19" s="16">
        <f>IF('Calculation Sheet'!$D$11,'Manager Sheet'!$E$11,NA())</f>
        <v>200</v>
      </c>
    </row>
    <row r="20" spans="2:27" x14ac:dyDescent="0.25">
      <c r="O20" s="4">
        <v>12</v>
      </c>
      <c r="P20" s="4">
        <f t="shared" si="5"/>
        <v>1432</v>
      </c>
      <c r="Q20" s="5">
        <f>'Manager Sheet'!U19</f>
        <v>729</v>
      </c>
      <c r="R20" s="5">
        <f t="shared" si="0"/>
        <v>729</v>
      </c>
      <c r="S20" s="5">
        <f t="shared" si="1"/>
        <v>0</v>
      </c>
      <c r="T20" s="5">
        <f t="shared" si="2"/>
        <v>703</v>
      </c>
      <c r="U20" s="42">
        <f>T20*'Constants Sheet'!$E$13</f>
        <v>57.780821917808218</v>
      </c>
      <c r="V20" s="40">
        <f>IF(T20&lt;'Manager Sheet'!$E$11,'Manager Sheet'!$E$14,0)</f>
        <v>0</v>
      </c>
      <c r="W20" s="45">
        <f>IFERROR(VLOOKUP(V20,'Constants Sheet'!$H$11:$J$14,3,TRUE),0)</f>
        <v>0</v>
      </c>
      <c r="Y20" s="15">
        <f t="shared" si="3"/>
        <v>703</v>
      </c>
      <c r="Z20">
        <f t="shared" si="4"/>
        <v>729</v>
      </c>
      <c r="AA20" s="16">
        <f>IF('Calculation Sheet'!$D$11,'Manager Sheet'!$E$11,NA())</f>
        <v>200</v>
      </c>
    </row>
    <row r="21" spans="2:27" x14ac:dyDescent="0.25">
      <c r="O21" s="4">
        <v>13</v>
      </c>
      <c r="P21" s="4">
        <f t="shared" si="5"/>
        <v>703</v>
      </c>
      <c r="Q21" s="5">
        <f>'Manager Sheet'!U20</f>
        <v>632</v>
      </c>
      <c r="R21" s="5">
        <f t="shared" si="0"/>
        <v>632</v>
      </c>
      <c r="S21" s="5">
        <f t="shared" si="1"/>
        <v>0</v>
      </c>
      <c r="T21" s="5">
        <f t="shared" si="2"/>
        <v>71</v>
      </c>
      <c r="U21" s="42">
        <f>T21*'Constants Sheet'!$E$13</f>
        <v>5.8356164383561637</v>
      </c>
      <c r="V21" s="40">
        <f>IF(T21&lt;'Manager Sheet'!$E$11,'Manager Sheet'!$E$14,0)</f>
        <v>5000</v>
      </c>
      <c r="W21" s="45">
        <f>IFERROR(VLOOKUP(V21,'Constants Sheet'!$H$11:$J$14,3,TRUE),0)</f>
        <v>175</v>
      </c>
      <c r="Y21" s="15">
        <f t="shared" si="3"/>
        <v>71</v>
      </c>
      <c r="Z21">
        <f t="shared" si="4"/>
        <v>632</v>
      </c>
      <c r="AA21" s="16">
        <f>IF('Calculation Sheet'!$D$11,'Manager Sheet'!$E$11,NA())</f>
        <v>200</v>
      </c>
    </row>
    <row r="22" spans="2:27" x14ac:dyDescent="0.25">
      <c r="O22" s="4">
        <v>14</v>
      </c>
      <c r="P22" s="4">
        <f t="shared" si="5"/>
        <v>5071</v>
      </c>
      <c r="Q22" s="5">
        <f>'Manager Sheet'!U21</f>
        <v>542</v>
      </c>
      <c r="R22" s="5">
        <f t="shared" si="0"/>
        <v>542</v>
      </c>
      <c r="S22" s="5">
        <f t="shared" si="1"/>
        <v>0</v>
      </c>
      <c r="T22" s="5">
        <f t="shared" si="2"/>
        <v>4529</v>
      </c>
      <c r="U22" s="42">
        <f>T22*'Constants Sheet'!$E$13</f>
        <v>372.24657534246575</v>
      </c>
      <c r="V22" s="40">
        <f>IF(T22&lt;'Manager Sheet'!$E$11,'Manager Sheet'!$E$14,0)</f>
        <v>0</v>
      </c>
      <c r="W22" s="45">
        <f>IFERROR(VLOOKUP(V22,'Constants Sheet'!$H$11:$J$14,3,TRUE),0)</f>
        <v>0</v>
      </c>
      <c r="Y22" s="15">
        <f t="shared" si="3"/>
        <v>4529</v>
      </c>
      <c r="Z22">
        <f t="shared" si="4"/>
        <v>542</v>
      </c>
      <c r="AA22" s="16">
        <f>IF('Calculation Sheet'!$D$11,'Manager Sheet'!$E$11,NA())</f>
        <v>200</v>
      </c>
    </row>
    <row r="23" spans="2:27" x14ac:dyDescent="0.25">
      <c r="O23" s="4">
        <v>15</v>
      </c>
      <c r="P23" s="4">
        <f t="shared" si="5"/>
        <v>4529</v>
      </c>
      <c r="Q23" s="5">
        <f>'Manager Sheet'!U22</f>
        <v>315</v>
      </c>
      <c r="R23" s="5">
        <f t="shared" si="0"/>
        <v>315</v>
      </c>
      <c r="S23" s="5">
        <f t="shared" si="1"/>
        <v>0</v>
      </c>
      <c r="T23" s="5">
        <f t="shared" si="2"/>
        <v>4214</v>
      </c>
      <c r="U23" s="42">
        <f>T23*'Constants Sheet'!$E$13</f>
        <v>346.35616438356163</v>
      </c>
      <c r="V23" s="40">
        <f>IF(T23&lt;'Manager Sheet'!$E$11,'Manager Sheet'!$E$14,0)</f>
        <v>0</v>
      </c>
      <c r="W23" s="45">
        <f>IFERROR(VLOOKUP(V23,'Constants Sheet'!$H$11:$J$14,3,TRUE),0)</f>
        <v>0</v>
      </c>
      <c r="Y23" s="15">
        <f t="shared" si="3"/>
        <v>4214</v>
      </c>
      <c r="Z23">
        <f t="shared" si="4"/>
        <v>315</v>
      </c>
      <c r="AA23" s="16">
        <f>IF('Calculation Sheet'!$D$11,'Manager Sheet'!$E$11,NA())</f>
        <v>200</v>
      </c>
    </row>
    <row r="24" spans="2:27" x14ac:dyDescent="0.25">
      <c r="O24" s="4">
        <v>16</v>
      </c>
      <c r="P24" s="4">
        <f t="shared" si="5"/>
        <v>4214</v>
      </c>
      <c r="Q24" s="5">
        <f>'Manager Sheet'!U23</f>
        <v>516</v>
      </c>
      <c r="R24" s="5">
        <f t="shared" si="0"/>
        <v>516</v>
      </c>
      <c r="S24" s="5">
        <f t="shared" si="1"/>
        <v>0</v>
      </c>
      <c r="T24" s="5">
        <f t="shared" si="2"/>
        <v>3698</v>
      </c>
      <c r="U24" s="42">
        <f>T24*'Constants Sheet'!$E$13</f>
        <v>303.94520547945206</v>
      </c>
      <c r="V24" s="40">
        <f>IF(T24&lt;'Manager Sheet'!$E$11,'Manager Sheet'!$E$14,0)</f>
        <v>0</v>
      </c>
      <c r="W24" s="45">
        <f>IFERROR(VLOOKUP(V24,'Constants Sheet'!$H$11:$J$14,3,TRUE),0)</f>
        <v>0</v>
      </c>
      <c r="Y24" s="15">
        <f t="shared" si="3"/>
        <v>3698</v>
      </c>
      <c r="Z24">
        <f t="shared" si="4"/>
        <v>516</v>
      </c>
      <c r="AA24" s="16">
        <f>IF('Calculation Sheet'!$D$11,'Manager Sheet'!$E$11,NA())</f>
        <v>200</v>
      </c>
    </row>
    <row r="25" spans="2:27" x14ac:dyDescent="0.25">
      <c r="O25" s="4">
        <v>17</v>
      </c>
      <c r="P25" s="4">
        <f t="shared" si="5"/>
        <v>3698</v>
      </c>
      <c r="Q25" s="5">
        <f>'Manager Sheet'!U24</f>
        <v>272</v>
      </c>
      <c r="R25" s="5">
        <f t="shared" si="0"/>
        <v>272</v>
      </c>
      <c r="S25" s="5">
        <f t="shared" si="1"/>
        <v>0</v>
      </c>
      <c r="T25" s="5">
        <f t="shared" si="2"/>
        <v>3426</v>
      </c>
      <c r="U25" s="42">
        <f>T25*'Constants Sheet'!$E$13</f>
        <v>281.58904109589042</v>
      </c>
      <c r="V25" s="40">
        <f>IF(T25&lt;'Manager Sheet'!$E$11,'Manager Sheet'!$E$14,0)</f>
        <v>0</v>
      </c>
      <c r="W25" s="45">
        <f>IFERROR(VLOOKUP(V25,'Constants Sheet'!$H$11:$J$14,3,TRUE),0)</f>
        <v>0</v>
      </c>
      <c r="Y25" s="15">
        <f t="shared" si="3"/>
        <v>3426</v>
      </c>
      <c r="Z25">
        <f t="shared" si="4"/>
        <v>272</v>
      </c>
      <c r="AA25" s="16">
        <f>IF('Calculation Sheet'!$D$11,'Manager Sheet'!$E$11,NA())</f>
        <v>200</v>
      </c>
    </row>
    <row r="26" spans="2:27" x14ac:dyDescent="0.25">
      <c r="O26" s="4">
        <v>18</v>
      </c>
      <c r="P26" s="4">
        <f t="shared" si="5"/>
        <v>3426</v>
      </c>
      <c r="Q26" s="5">
        <f>'Manager Sheet'!U25</f>
        <v>478</v>
      </c>
      <c r="R26" s="5">
        <f t="shared" si="0"/>
        <v>478</v>
      </c>
      <c r="S26" s="5">
        <f t="shared" si="1"/>
        <v>0</v>
      </c>
      <c r="T26" s="5">
        <f t="shared" si="2"/>
        <v>2948</v>
      </c>
      <c r="U26" s="42">
        <f>T26*'Constants Sheet'!$E$13</f>
        <v>242.30136986301369</v>
      </c>
      <c r="V26" s="40">
        <f>IF(T26&lt;'Manager Sheet'!$E$11,'Manager Sheet'!$E$14,0)</f>
        <v>0</v>
      </c>
      <c r="W26" s="45">
        <f>IFERROR(VLOOKUP(V26,'Constants Sheet'!$H$11:$J$14,3,TRUE),0)</f>
        <v>0</v>
      </c>
      <c r="Y26" s="15">
        <f t="shared" si="3"/>
        <v>2948</v>
      </c>
      <c r="Z26">
        <f t="shared" si="4"/>
        <v>478</v>
      </c>
      <c r="AA26" s="16">
        <f>IF('Calculation Sheet'!$D$11,'Manager Sheet'!$E$11,NA())</f>
        <v>200</v>
      </c>
    </row>
    <row r="27" spans="2:27" x14ac:dyDescent="0.25">
      <c r="O27" s="4">
        <v>19</v>
      </c>
      <c r="P27" s="4">
        <f t="shared" si="5"/>
        <v>2948</v>
      </c>
      <c r="Q27" s="5">
        <f>'Manager Sheet'!U26</f>
        <v>378</v>
      </c>
      <c r="R27" s="5">
        <f t="shared" si="0"/>
        <v>378</v>
      </c>
      <c r="S27" s="5">
        <f t="shared" si="1"/>
        <v>0</v>
      </c>
      <c r="T27" s="5">
        <f t="shared" si="2"/>
        <v>2570</v>
      </c>
      <c r="U27" s="42">
        <f>T27*'Constants Sheet'!$E$13</f>
        <v>211.23287671232876</v>
      </c>
      <c r="V27" s="40">
        <f>IF(T27&lt;'Manager Sheet'!$E$11,'Manager Sheet'!$E$14,0)</f>
        <v>0</v>
      </c>
      <c r="W27" s="45">
        <f>IFERROR(VLOOKUP(V27,'Constants Sheet'!$H$11:$J$14,3,TRUE),0)</f>
        <v>0</v>
      </c>
      <c r="Y27" s="15">
        <f t="shared" si="3"/>
        <v>2570</v>
      </c>
      <c r="Z27">
        <f t="shared" si="4"/>
        <v>378</v>
      </c>
      <c r="AA27" s="16">
        <f>IF('Calculation Sheet'!$D$11,'Manager Sheet'!$E$11,NA())</f>
        <v>200</v>
      </c>
    </row>
    <row r="28" spans="2:27" x14ac:dyDescent="0.25">
      <c r="O28" s="4">
        <v>20</v>
      </c>
      <c r="P28" s="4">
        <f t="shared" si="5"/>
        <v>2570</v>
      </c>
      <c r="Q28" s="5">
        <f>'Manager Sheet'!U27</f>
        <v>342</v>
      </c>
      <c r="R28" s="5">
        <f t="shared" si="0"/>
        <v>342</v>
      </c>
      <c r="S28" s="5">
        <f t="shared" si="1"/>
        <v>0</v>
      </c>
      <c r="T28" s="5">
        <f t="shared" si="2"/>
        <v>2228</v>
      </c>
      <c r="U28" s="42">
        <f>T28*'Constants Sheet'!$E$13</f>
        <v>183.12328767123287</v>
      </c>
      <c r="V28" s="40">
        <f>IF(T28&lt;'Manager Sheet'!$E$11,'Manager Sheet'!$E$14,0)</f>
        <v>0</v>
      </c>
      <c r="W28" s="45">
        <f>IFERROR(VLOOKUP(V28,'Constants Sheet'!$H$11:$J$14,3,TRUE),0)</f>
        <v>0</v>
      </c>
      <c r="Y28" s="15">
        <f t="shared" si="3"/>
        <v>2228</v>
      </c>
      <c r="Z28">
        <f t="shared" si="4"/>
        <v>342</v>
      </c>
      <c r="AA28" s="16">
        <f>IF('Calculation Sheet'!$D$11,'Manager Sheet'!$E$11,NA())</f>
        <v>200</v>
      </c>
    </row>
    <row r="29" spans="2:27" x14ac:dyDescent="0.25">
      <c r="O29" s="4">
        <v>21</v>
      </c>
      <c r="P29" s="4">
        <f t="shared" si="5"/>
        <v>2228</v>
      </c>
      <c r="Q29" s="5">
        <f>'Manager Sheet'!U28</f>
        <v>837</v>
      </c>
      <c r="R29" s="5">
        <f t="shared" si="0"/>
        <v>837</v>
      </c>
      <c r="S29" s="5">
        <f t="shared" si="1"/>
        <v>0</v>
      </c>
      <c r="T29" s="5">
        <f t="shared" si="2"/>
        <v>1391</v>
      </c>
      <c r="U29" s="42">
        <f>T29*'Constants Sheet'!$E$13</f>
        <v>114.32876712328766</v>
      </c>
      <c r="V29" s="40">
        <f>IF(T29&lt;'Manager Sheet'!$E$11,'Manager Sheet'!$E$14,0)</f>
        <v>0</v>
      </c>
      <c r="W29" s="45">
        <f>IFERROR(VLOOKUP(V29,'Constants Sheet'!$H$11:$J$14,3,TRUE),0)</f>
        <v>0</v>
      </c>
      <c r="Y29" s="15">
        <f t="shared" si="3"/>
        <v>1391</v>
      </c>
      <c r="Z29">
        <f t="shared" si="4"/>
        <v>837</v>
      </c>
      <c r="AA29" s="16">
        <f>IF('Calculation Sheet'!$D$11,'Manager Sheet'!$E$11,NA())</f>
        <v>200</v>
      </c>
    </row>
    <row r="30" spans="2:27" x14ac:dyDescent="0.25">
      <c r="O30" s="4">
        <v>22</v>
      </c>
      <c r="P30" s="4">
        <f t="shared" si="5"/>
        <v>1391</v>
      </c>
      <c r="Q30" s="5">
        <f>'Manager Sheet'!U29</f>
        <v>338</v>
      </c>
      <c r="R30" s="5">
        <f t="shared" si="0"/>
        <v>338</v>
      </c>
      <c r="S30" s="5">
        <f t="shared" si="1"/>
        <v>0</v>
      </c>
      <c r="T30" s="5">
        <f t="shared" si="2"/>
        <v>1053</v>
      </c>
      <c r="U30" s="42">
        <f>T30*'Constants Sheet'!$E$13</f>
        <v>86.547945205479451</v>
      </c>
      <c r="V30" s="40">
        <f>IF(T30&lt;'Manager Sheet'!$E$11,'Manager Sheet'!$E$14,0)</f>
        <v>0</v>
      </c>
      <c r="W30" s="45">
        <f>IFERROR(VLOOKUP(V30,'Constants Sheet'!$H$11:$J$14,3,TRUE),0)</f>
        <v>0</v>
      </c>
      <c r="Y30" s="15">
        <f t="shared" si="3"/>
        <v>1053</v>
      </c>
      <c r="Z30">
        <f t="shared" si="4"/>
        <v>338</v>
      </c>
      <c r="AA30" s="16">
        <f>IF('Calculation Sheet'!$D$11,'Manager Sheet'!$E$11,NA())</f>
        <v>200</v>
      </c>
    </row>
    <row r="31" spans="2:27" x14ac:dyDescent="0.25">
      <c r="O31" s="4">
        <v>23</v>
      </c>
      <c r="P31" s="4">
        <f t="shared" si="5"/>
        <v>1053</v>
      </c>
      <c r="Q31" s="5">
        <f>'Manager Sheet'!U30</f>
        <v>770</v>
      </c>
      <c r="R31" s="5">
        <f t="shared" si="0"/>
        <v>770</v>
      </c>
      <c r="S31" s="5">
        <f t="shared" si="1"/>
        <v>0</v>
      </c>
      <c r="T31" s="5">
        <f t="shared" si="2"/>
        <v>283</v>
      </c>
      <c r="U31" s="42">
        <f>T31*'Constants Sheet'!$E$13</f>
        <v>23.260273972602739</v>
      </c>
      <c r="V31" s="40">
        <f>IF(T31&lt;'Manager Sheet'!$E$11,'Manager Sheet'!$E$14,0)</f>
        <v>0</v>
      </c>
      <c r="W31" s="45">
        <f>IFERROR(VLOOKUP(V31,'Constants Sheet'!$H$11:$J$14,3,TRUE),0)</f>
        <v>0</v>
      </c>
      <c r="Y31" s="15">
        <f t="shared" si="3"/>
        <v>283</v>
      </c>
      <c r="Z31">
        <f t="shared" si="4"/>
        <v>770</v>
      </c>
      <c r="AA31" s="16">
        <f>IF('Calculation Sheet'!$D$11,'Manager Sheet'!$E$11,NA())</f>
        <v>200</v>
      </c>
    </row>
    <row r="32" spans="2:27" x14ac:dyDescent="0.25">
      <c r="O32" s="4">
        <v>24</v>
      </c>
      <c r="P32" s="4">
        <f t="shared" si="5"/>
        <v>283</v>
      </c>
      <c r="Q32" s="5">
        <f>'Manager Sheet'!U31</f>
        <v>654</v>
      </c>
      <c r="R32" s="5">
        <f t="shared" si="0"/>
        <v>283</v>
      </c>
      <c r="S32" s="5">
        <f t="shared" si="1"/>
        <v>371</v>
      </c>
      <c r="T32" s="5">
        <f t="shared" si="2"/>
        <v>0</v>
      </c>
      <c r="U32" s="42">
        <f>T32*'Constants Sheet'!$E$13</f>
        <v>0</v>
      </c>
      <c r="V32" s="40">
        <f>IF(T32&lt;'Manager Sheet'!$E$11,'Manager Sheet'!$E$14,0)</f>
        <v>5000</v>
      </c>
      <c r="W32" s="45">
        <f>IFERROR(VLOOKUP(V32,'Constants Sheet'!$H$11:$J$14,3,TRUE),0)</f>
        <v>175</v>
      </c>
      <c r="Y32" s="15">
        <f t="shared" si="3"/>
        <v>0</v>
      </c>
      <c r="Z32">
        <f t="shared" si="4"/>
        <v>654</v>
      </c>
      <c r="AA32" s="16">
        <f>IF('Calculation Sheet'!$D$11,'Manager Sheet'!$E$11,NA())</f>
        <v>200</v>
      </c>
    </row>
    <row r="33" spans="15:27" x14ac:dyDescent="0.25">
      <c r="O33" s="4">
        <v>25</v>
      </c>
      <c r="P33" s="4">
        <f t="shared" si="5"/>
        <v>5000</v>
      </c>
      <c r="Q33" s="5">
        <f>'Manager Sheet'!U32</f>
        <v>553</v>
      </c>
      <c r="R33" s="5">
        <f t="shared" si="0"/>
        <v>553</v>
      </c>
      <c r="S33" s="5">
        <f t="shared" si="1"/>
        <v>0</v>
      </c>
      <c r="T33" s="5">
        <f t="shared" si="2"/>
        <v>4447</v>
      </c>
      <c r="U33" s="42">
        <f>T33*'Constants Sheet'!$E$13</f>
        <v>365.50684931506845</v>
      </c>
      <c r="V33" s="40">
        <f>IF(T33&lt;'Manager Sheet'!$E$11,'Manager Sheet'!$E$14,0)</f>
        <v>0</v>
      </c>
      <c r="W33" s="45">
        <f>IFERROR(VLOOKUP(V33,'Constants Sheet'!$H$11:$J$14,3,TRUE),0)</f>
        <v>0</v>
      </c>
      <c r="Y33" s="15">
        <f t="shared" si="3"/>
        <v>4447</v>
      </c>
      <c r="Z33">
        <f t="shared" si="4"/>
        <v>553</v>
      </c>
      <c r="AA33" s="16">
        <f>IF('Calculation Sheet'!$D$11,'Manager Sheet'!$E$11,NA())</f>
        <v>200</v>
      </c>
    </row>
    <row r="34" spans="15:27" x14ac:dyDescent="0.25">
      <c r="O34" s="4">
        <v>26</v>
      </c>
      <c r="P34" s="4">
        <f t="shared" si="5"/>
        <v>4447</v>
      </c>
      <c r="Q34" s="5">
        <f>'Manager Sheet'!U33</f>
        <v>563</v>
      </c>
      <c r="R34" s="5">
        <f t="shared" si="0"/>
        <v>563</v>
      </c>
      <c r="S34" s="5">
        <f t="shared" si="1"/>
        <v>0</v>
      </c>
      <c r="T34" s="5">
        <f t="shared" si="2"/>
        <v>3884</v>
      </c>
      <c r="U34" s="42">
        <f>T34*'Constants Sheet'!$E$13</f>
        <v>319.23287671232873</v>
      </c>
      <c r="V34" s="40">
        <f>IF(T34&lt;'Manager Sheet'!$E$11,'Manager Sheet'!$E$14,0)</f>
        <v>0</v>
      </c>
      <c r="W34" s="45">
        <f>IFERROR(VLOOKUP(V34,'Constants Sheet'!$H$11:$J$14,3,TRUE),0)</f>
        <v>0</v>
      </c>
      <c r="Y34" s="15">
        <f t="shared" si="3"/>
        <v>3884</v>
      </c>
      <c r="Z34">
        <f t="shared" si="4"/>
        <v>563</v>
      </c>
      <c r="AA34" s="16">
        <f>IF('Calculation Sheet'!$D$11,'Manager Sheet'!$E$11,NA())</f>
        <v>200</v>
      </c>
    </row>
    <row r="35" spans="15:27" x14ac:dyDescent="0.25">
      <c r="O35" s="4">
        <v>27</v>
      </c>
      <c r="P35" s="4">
        <f t="shared" si="5"/>
        <v>3884</v>
      </c>
      <c r="Q35" s="5">
        <f>'Manager Sheet'!U34</f>
        <v>449</v>
      </c>
      <c r="R35" s="5">
        <f t="shared" si="0"/>
        <v>449</v>
      </c>
      <c r="S35" s="5">
        <f t="shared" si="1"/>
        <v>0</v>
      </c>
      <c r="T35" s="5">
        <f t="shared" si="2"/>
        <v>3435</v>
      </c>
      <c r="U35" s="42">
        <f>T35*'Constants Sheet'!$E$13</f>
        <v>282.32876712328766</v>
      </c>
      <c r="V35" s="40">
        <f>IF(T35&lt;'Manager Sheet'!$E$11,'Manager Sheet'!$E$14,0)</f>
        <v>0</v>
      </c>
      <c r="W35" s="45">
        <f>IFERROR(VLOOKUP(V35,'Constants Sheet'!$H$11:$J$14,3,TRUE),0)</f>
        <v>0</v>
      </c>
      <c r="Y35" s="15">
        <f t="shared" si="3"/>
        <v>3435</v>
      </c>
      <c r="Z35">
        <f t="shared" si="4"/>
        <v>449</v>
      </c>
      <c r="AA35" s="16">
        <f>IF('Calculation Sheet'!$D$11,'Manager Sheet'!$E$11,NA())</f>
        <v>200</v>
      </c>
    </row>
    <row r="36" spans="15:27" x14ac:dyDescent="0.25">
      <c r="O36" s="4">
        <v>28</v>
      </c>
      <c r="P36" s="4">
        <f t="shared" si="5"/>
        <v>3435</v>
      </c>
      <c r="Q36" s="5">
        <f>'Manager Sheet'!U35</f>
        <v>712</v>
      </c>
      <c r="R36" s="5">
        <f t="shared" si="0"/>
        <v>712</v>
      </c>
      <c r="S36" s="5">
        <f t="shared" si="1"/>
        <v>0</v>
      </c>
      <c r="T36" s="5">
        <f t="shared" si="2"/>
        <v>2723</v>
      </c>
      <c r="U36" s="42">
        <f>T36*'Constants Sheet'!$E$13</f>
        <v>223.80821917808217</v>
      </c>
      <c r="V36" s="40">
        <f>IF(T36&lt;'Manager Sheet'!$E$11,'Manager Sheet'!$E$14,0)</f>
        <v>0</v>
      </c>
      <c r="W36" s="45">
        <f>IFERROR(VLOOKUP(V36,'Constants Sheet'!$H$11:$J$14,3,TRUE),0)</f>
        <v>0</v>
      </c>
      <c r="Y36" s="15">
        <f t="shared" si="3"/>
        <v>2723</v>
      </c>
      <c r="Z36">
        <f t="shared" si="4"/>
        <v>712</v>
      </c>
      <c r="AA36" s="16">
        <f>IF('Calculation Sheet'!$D$11,'Manager Sheet'!$E$11,NA())</f>
        <v>200</v>
      </c>
    </row>
    <row r="37" spans="15:27" x14ac:dyDescent="0.25">
      <c r="O37" s="4">
        <v>29</v>
      </c>
      <c r="P37" s="4">
        <f t="shared" si="5"/>
        <v>2723</v>
      </c>
      <c r="Q37" s="5">
        <f>'Manager Sheet'!U36</f>
        <v>461</v>
      </c>
      <c r="R37" s="5">
        <f t="shared" si="0"/>
        <v>461</v>
      </c>
      <c r="S37" s="5">
        <f t="shared" si="1"/>
        <v>0</v>
      </c>
      <c r="T37" s="5">
        <f t="shared" si="2"/>
        <v>2262</v>
      </c>
      <c r="U37" s="42">
        <f>T37*'Constants Sheet'!$E$13</f>
        <v>185.91780821917808</v>
      </c>
      <c r="V37" s="40">
        <f>IF(T37&lt;'Manager Sheet'!$E$11,'Manager Sheet'!$E$14,0)</f>
        <v>0</v>
      </c>
      <c r="W37" s="45">
        <f>IFERROR(VLOOKUP(V37,'Constants Sheet'!$H$11:$J$14,3,TRUE),0)</f>
        <v>0</v>
      </c>
      <c r="Y37" s="15">
        <f t="shared" si="3"/>
        <v>2262</v>
      </c>
      <c r="Z37">
        <f t="shared" si="4"/>
        <v>461</v>
      </c>
      <c r="AA37" s="16">
        <f>IF('Calculation Sheet'!$D$11,'Manager Sheet'!$E$11,NA())</f>
        <v>200</v>
      </c>
    </row>
    <row r="38" spans="15:27" x14ac:dyDescent="0.25">
      <c r="O38" s="4">
        <v>30</v>
      </c>
      <c r="P38" s="4">
        <f t="shared" si="5"/>
        <v>2262</v>
      </c>
      <c r="Q38" s="5">
        <f>'Manager Sheet'!U37</f>
        <v>511</v>
      </c>
      <c r="R38" s="5">
        <f t="shared" si="0"/>
        <v>511</v>
      </c>
      <c r="S38" s="5">
        <f t="shared" si="1"/>
        <v>0</v>
      </c>
      <c r="T38" s="5">
        <f t="shared" si="2"/>
        <v>1751</v>
      </c>
      <c r="U38" s="42">
        <f>T38*'Constants Sheet'!$E$13</f>
        <v>143.91780821917808</v>
      </c>
      <c r="V38" s="40">
        <f>IF(T38&lt;'Manager Sheet'!$E$11,'Manager Sheet'!$E$14,0)</f>
        <v>0</v>
      </c>
      <c r="W38" s="45">
        <f>IFERROR(VLOOKUP(V38,'Constants Sheet'!$H$11:$J$14,3,TRUE),0)</f>
        <v>0</v>
      </c>
      <c r="Y38" s="15">
        <f t="shared" si="3"/>
        <v>1751</v>
      </c>
      <c r="Z38">
        <f t="shared" si="4"/>
        <v>511</v>
      </c>
      <c r="AA38" s="16">
        <f>IF('Calculation Sheet'!$D$11,'Manager Sheet'!$E$11,NA())</f>
        <v>200</v>
      </c>
    </row>
    <row r="39" spans="15:27" x14ac:dyDescent="0.25">
      <c r="O39" s="4">
        <v>31</v>
      </c>
      <c r="P39" s="4">
        <f t="shared" si="5"/>
        <v>1751</v>
      </c>
      <c r="Q39" s="5">
        <f>'Manager Sheet'!U38</f>
        <v>392</v>
      </c>
      <c r="R39" s="5">
        <f t="shared" si="0"/>
        <v>392</v>
      </c>
      <c r="S39" s="5">
        <f t="shared" si="1"/>
        <v>0</v>
      </c>
      <c r="T39" s="5">
        <f t="shared" si="2"/>
        <v>1359</v>
      </c>
      <c r="U39" s="42">
        <f>T39*'Constants Sheet'!$E$13</f>
        <v>111.6986301369863</v>
      </c>
      <c r="V39" s="40">
        <f>IF(T39&lt;'Manager Sheet'!$E$11,'Manager Sheet'!$E$14,0)</f>
        <v>0</v>
      </c>
      <c r="W39" s="45">
        <f>IFERROR(VLOOKUP(V39,'Constants Sheet'!$H$11:$J$14,3,TRUE),0)</f>
        <v>0</v>
      </c>
      <c r="Y39" s="15">
        <f t="shared" si="3"/>
        <v>1359</v>
      </c>
      <c r="Z39">
        <f t="shared" si="4"/>
        <v>392</v>
      </c>
      <c r="AA39" s="16">
        <f>IF('Calculation Sheet'!$D$11,'Manager Sheet'!$E$11,NA())</f>
        <v>200</v>
      </c>
    </row>
    <row r="40" spans="15:27" x14ac:dyDescent="0.25">
      <c r="O40" s="4">
        <v>32</v>
      </c>
      <c r="P40" s="4">
        <f t="shared" si="5"/>
        <v>1359</v>
      </c>
      <c r="Q40" s="5">
        <f>'Manager Sheet'!U39</f>
        <v>634</v>
      </c>
      <c r="R40" s="5">
        <f t="shared" si="0"/>
        <v>634</v>
      </c>
      <c r="S40" s="5">
        <f t="shared" si="1"/>
        <v>0</v>
      </c>
      <c r="T40" s="5">
        <f t="shared" si="2"/>
        <v>725</v>
      </c>
      <c r="U40" s="42">
        <f>T40*'Constants Sheet'!$E$13</f>
        <v>59.589041095890408</v>
      </c>
      <c r="V40" s="40">
        <f>IF(T40&lt;'Manager Sheet'!$E$11,'Manager Sheet'!$E$14,0)</f>
        <v>0</v>
      </c>
      <c r="W40" s="45">
        <f>IFERROR(VLOOKUP(V40,'Constants Sheet'!$H$11:$J$14,3,TRUE),0)</f>
        <v>0</v>
      </c>
      <c r="Y40" s="15">
        <f t="shared" si="3"/>
        <v>725</v>
      </c>
      <c r="Z40">
        <f t="shared" si="4"/>
        <v>634</v>
      </c>
      <c r="AA40" s="16">
        <f>IF('Calculation Sheet'!$D$11,'Manager Sheet'!$E$11,NA())</f>
        <v>200</v>
      </c>
    </row>
    <row r="41" spans="15:27" x14ac:dyDescent="0.25">
      <c r="O41" s="4">
        <v>33</v>
      </c>
      <c r="P41" s="4">
        <f t="shared" si="5"/>
        <v>725</v>
      </c>
      <c r="Q41" s="5">
        <f>'Manager Sheet'!U40</f>
        <v>274</v>
      </c>
      <c r="R41" s="5">
        <f t="shared" si="0"/>
        <v>274</v>
      </c>
      <c r="S41" s="5">
        <f t="shared" si="1"/>
        <v>0</v>
      </c>
      <c r="T41" s="5">
        <f t="shared" si="2"/>
        <v>451</v>
      </c>
      <c r="U41" s="42">
        <f>T41*'Constants Sheet'!$E$13</f>
        <v>37.06849315068493</v>
      </c>
      <c r="V41" s="40">
        <f>IF(T41&lt;'Manager Sheet'!$E$11,'Manager Sheet'!$E$14,0)</f>
        <v>0</v>
      </c>
      <c r="W41" s="45">
        <f>IFERROR(VLOOKUP(V41,'Constants Sheet'!$H$11:$J$14,3,TRUE),0)</f>
        <v>0</v>
      </c>
      <c r="Y41" s="15">
        <f t="shared" si="3"/>
        <v>451</v>
      </c>
      <c r="Z41">
        <f t="shared" si="4"/>
        <v>274</v>
      </c>
      <c r="AA41" s="16">
        <f>IF('Calculation Sheet'!$D$11,'Manager Sheet'!$E$11,NA())</f>
        <v>200</v>
      </c>
    </row>
    <row r="42" spans="15:27" x14ac:dyDescent="0.25">
      <c r="O42" s="4">
        <v>34</v>
      </c>
      <c r="P42" s="4">
        <f t="shared" si="5"/>
        <v>451</v>
      </c>
      <c r="Q42" s="5">
        <f>'Manager Sheet'!U41</f>
        <v>438</v>
      </c>
      <c r="R42" s="5">
        <f t="shared" si="0"/>
        <v>438</v>
      </c>
      <c r="S42" s="5">
        <f t="shared" si="1"/>
        <v>0</v>
      </c>
      <c r="T42" s="5">
        <f t="shared" si="2"/>
        <v>13</v>
      </c>
      <c r="U42" s="42">
        <f>T42*'Constants Sheet'!$E$13</f>
        <v>1.0684931506849313</v>
      </c>
      <c r="V42" s="40">
        <f>IF(T42&lt;'Manager Sheet'!$E$11,'Manager Sheet'!$E$14,0)</f>
        <v>5000</v>
      </c>
      <c r="W42" s="45">
        <f>IFERROR(VLOOKUP(V42,'Constants Sheet'!$H$11:$J$14,3,TRUE),0)</f>
        <v>175</v>
      </c>
      <c r="Y42" s="15">
        <f t="shared" si="3"/>
        <v>13</v>
      </c>
      <c r="Z42">
        <f t="shared" si="4"/>
        <v>438</v>
      </c>
      <c r="AA42" s="16">
        <f>IF('Calculation Sheet'!$D$11,'Manager Sheet'!$E$11,NA())</f>
        <v>200</v>
      </c>
    </row>
    <row r="43" spans="15:27" x14ac:dyDescent="0.25">
      <c r="O43" s="4">
        <v>35</v>
      </c>
      <c r="P43" s="4">
        <f t="shared" si="5"/>
        <v>5013</v>
      </c>
      <c r="Q43" s="5">
        <f>'Manager Sheet'!U42</f>
        <v>522</v>
      </c>
      <c r="R43" s="5">
        <f t="shared" si="0"/>
        <v>522</v>
      </c>
      <c r="S43" s="5">
        <f t="shared" si="1"/>
        <v>0</v>
      </c>
      <c r="T43" s="5">
        <f t="shared" si="2"/>
        <v>4491</v>
      </c>
      <c r="U43" s="42">
        <f>T43*'Constants Sheet'!$E$13</f>
        <v>369.12328767123284</v>
      </c>
      <c r="V43" s="40">
        <f>IF(T43&lt;'Manager Sheet'!$E$11,'Manager Sheet'!$E$14,0)</f>
        <v>0</v>
      </c>
      <c r="W43" s="45">
        <f>IFERROR(VLOOKUP(V43,'Constants Sheet'!$H$11:$J$14,3,TRUE),0)</f>
        <v>0</v>
      </c>
      <c r="Y43" s="15">
        <f t="shared" si="3"/>
        <v>4491</v>
      </c>
      <c r="Z43">
        <f t="shared" si="4"/>
        <v>522</v>
      </c>
      <c r="AA43" s="16">
        <f>IF('Calculation Sheet'!$D$11,'Manager Sheet'!$E$11,NA())</f>
        <v>200</v>
      </c>
    </row>
    <row r="44" spans="15:27" x14ac:dyDescent="0.25">
      <c r="O44" s="4">
        <v>36</v>
      </c>
      <c r="P44" s="4">
        <f t="shared" si="5"/>
        <v>4491</v>
      </c>
      <c r="Q44" s="5">
        <f>'Manager Sheet'!U43</f>
        <v>675</v>
      </c>
      <c r="R44" s="5">
        <f t="shared" si="0"/>
        <v>675</v>
      </c>
      <c r="S44" s="5">
        <f t="shared" si="1"/>
        <v>0</v>
      </c>
      <c r="T44" s="5">
        <f t="shared" si="2"/>
        <v>3816</v>
      </c>
      <c r="U44" s="42">
        <f>T44*'Constants Sheet'!$E$13</f>
        <v>313.64383561643837</v>
      </c>
      <c r="V44" s="40">
        <f>IF(T44&lt;'Manager Sheet'!$E$11,'Manager Sheet'!$E$14,0)</f>
        <v>0</v>
      </c>
      <c r="W44" s="45">
        <f>IFERROR(VLOOKUP(V44,'Constants Sheet'!$H$11:$J$14,3,TRUE),0)</f>
        <v>0</v>
      </c>
      <c r="Y44" s="15">
        <f t="shared" si="3"/>
        <v>3816</v>
      </c>
      <c r="Z44">
        <f t="shared" si="4"/>
        <v>675</v>
      </c>
      <c r="AA44" s="16">
        <f>IF('Calculation Sheet'!$D$11,'Manager Sheet'!$E$11,NA())</f>
        <v>200</v>
      </c>
    </row>
    <row r="45" spans="15:27" x14ac:dyDescent="0.25">
      <c r="O45" s="4">
        <v>37</v>
      </c>
      <c r="P45" s="4">
        <f t="shared" si="5"/>
        <v>3816</v>
      </c>
      <c r="Q45" s="5">
        <f>'Manager Sheet'!U44</f>
        <v>709</v>
      </c>
      <c r="R45" s="5">
        <f t="shared" si="0"/>
        <v>709</v>
      </c>
      <c r="S45" s="5">
        <f t="shared" si="1"/>
        <v>0</v>
      </c>
      <c r="T45" s="5">
        <f t="shared" si="2"/>
        <v>3107</v>
      </c>
      <c r="U45" s="42">
        <f>T45*'Constants Sheet'!$E$13</f>
        <v>255.36986301369862</v>
      </c>
      <c r="V45" s="40">
        <f>IF(T45&lt;'Manager Sheet'!$E$11,'Manager Sheet'!$E$14,0)</f>
        <v>0</v>
      </c>
      <c r="W45" s="45">
        <f>IFERROR(VLOOKUP(V45,'Constants Sheet'!$H$11:$J$14,3,TRUE),0)</f>
        <v>0</v>
      </c>
      <c r="Y45" s="15">
        <f t="shared" si="3"/>
        <v>3107</v>
      </c>
      <c r="Z45">
        <f t="shared" si="4"/>
        <v>709</v>
      </c>
      <c r="AA45" s="16">
        <f>IF('Calculation Sheet'!$D$11,'Manager Sheet'!$E$11,NA())</f>
        <v>200</v>
      </c>
    </row>
    <row r="46" spans="15:27" x14ac:dyDescent="0.25">
      <c r="O46" s="4">
        <v>38</v>
      </c>
      <c r="P46" s="4">
        <f t="shared" si="5"/>
        <v>3107</v>
      </c>
      <c r="Q46" s="5">
        <f>'Manager Sheet'!U45</f>
        <v>773</v>
      </c>
      <c r="R46" s="5">
        <f t="shared" si="0"/>
        <v>773</v>
      </c>
      <c r="S46" s="5">
        <f t="shared" si="1"/>
        <v>0</v>
      </c>
      <c r="T46" s="5">
        <f t="shared" si="2"/>
        <v>2334</v>
      </c>
      <c r="U46" s="42">
        <f>T46*'Constants Sheet'!$E$13</f>
        <v>191.83561643835614</v>
      </c>
      <c r="V46" s="40">
        <f>IF(T46&lt;'Manager Sheet'!$E$11,'Manager Sheet'!$E$14,0)</f>
        <v>0</v>
      </c>
      <c r="W46" s="45">
        <f>IFERROR(VLOOKUP(V46,'Constants Sheet'!$H$11:$J$14,3,TRUE),0)</f>
        <v>0</v>
      </c>
      <c r="Y46" s="15">
        <f t="shared" si="3"/>
        <v>2334</v>
      </c>
      <c r="Z46">
        <f t="shared" si="4"/>
        <v>773</v>
      </c>
      <c r="AA46" s="16">
        <f>IF('Calculation Sheet'!$D$11,'Manager Sheet'!$E$11,NA())</f>
        <v>200</v>
      </c>
    </row>
    <row r="47" spans="15:27" x14ac:dyDescent="0.25">
      <c r="O47" s="4">
        <v>39</v>
      </c>
      <c r="P47" s="4">
        <f t="shared" si="5"/>
        <v>2334</v>
      </c>
      <c r="Q47" s="5">
        <f>'Manager Sheet'!U46</f>
        <v>517</v>
      </c>
      <c r="R47" s="5">
        <f t="shared" si="0"/>
        <v>517</v>
      </c>
      <c r="S47" s="5">
        <f t="shared" si="1"/>
        <v>0</v>
      </c>
      <c r="T47" s="5">
        <f t="shared" si="2"/>
        <v>1817</v>
      </c>
      <c r="U47" s="42">
        <f>T47*'Constants Sheet'!$E$13</f>
        <v>149.34246575342465</v>
      </c>
      <c r="V47" s="40">
        <f>IF(T47&lt;'Manager Sheet'!$E$11,'Manager Sheet'!$E$14,0)</f>
        <v>0</v>
      </c>
      <c r="W47" s="45">
        <f>IFERROR(VLOOKUP(V47,'Constants Sheet'!$H$11:$J$14,3,TRUE),0)</f>
        <v>0</v>
      </c>
      <c r="Y47" s="15">
        <f t="shared" si="3"/>
        <v>1817</v>
      </c>
      <c r="Z47">
        <f t="shared" si="4"/>
        <v>517</v>
      </c>
      <c r="AA47" s="16">
        <f>IF('Calculation Sheet'!$D$11,'Manager Sheet'!$E$11,NA())</f>
        <v>200</v>
      </c>
    </row>
    <row r="48" spans="15:27" x14ac:dyDescent="0.25">
      <c r="O48" s="4">
        <v>40</v>
      </c>
      <c r="P48" s="4">
        <f t="shared" si="5"/>
        <v>1817</v>
      </c>
      <c r="Q48" s="5">
        <f>'Manager Sheet'!U47</f>
        <v>243</v>
      </c>
      <c r="R48" s="5">
        <f t="shared" si="0"/>
        <v>243</v>
      </c>
      <c r="S48" s="5">
        <f t="shared" si="1"/>
        <v>0</v>
      </c>
      <c r="T48" s="5">
        <f t="shared" si="2"/>
        <v>1574</v>
      </c>
      <c r="U48" s="42">
        <f>T48*'Constants Sheet'!$E$13</f>
        <v>129.36986301369862</v>
      </c>
      <c r="V48" s="40">
        <f>IF(T48&lt;'Manager Sheet'!$E$11,'Manager Sheet'!$E$14,0)</f>
        <v>0</v>
      </c>
      <c r="W48" s="45">
        <f>IFERROR(VLOOKUP(V48,'Constants Sheet'!$H$11:$J$14,3,TRUE),0)</f>
        <v>0</v>
      </c>
      <c r="Y48" s="15">
        <f t="shared" si="3"/>
        <v>1574</v>
      </c>
      <c r="Z48">
        <f t="shared" si="4"/>
        <v>243</v>
      </c>
      <c r="AA48" s="16">
        <f>IF('Calculation Sheet'!$D$11,'Manager Sheet'!$E$11,NA())</f>
        <v>200</v>
      </c>
    </row>
    <row r="49" spans="15:27" x14ac:dyDescent="0.25">
      <c r="O49" s="4">
        <v>41</v>
      </c>
      <c r="P49" s="4">
        <f t="shared" si="5"/>
        <v>1574</v>
      </c>
      <c r="Q49" s="5">
        <f>'Manager Sheet'!U48</f>
        <v>377</v>
      </c>
      <c r="R49" s="5">
        <f t="shared" si="0"/>
        <v>377</v>
      </c>
      <c r="S49" s="5">
        <f t="shared" si="1"/>
        <v>0</v>
      </c>
      <c r="T49" s="5">
        <f t="shared" si="2"/>
        <v>1197</v>
      </c>
      <c r="U49" s="42">
        <f>T49*'Constants Sheet'!$E$13</f>
        <v>98.383561643835606</v>
      </c>
      <c r="V49" s="40">
        <f>IF(T49&lt;'Manager Sheet'!$E$11,'Manager Sheet'!$E$14,0)</f>
        <v>0</v>
      </c>
      <c r="W49" s="45">
        <f>IFERROR(VLOOKUP(V49,'Constants Sheet'!$H$11:$J$14,3,TRUE),0)</f>
        <v>0</v>
      </c>
      <c r="Y49" s="15">
        <f t="shared" si="3"/>
        <v>1197</v>
      </c>
      <c r="Z49">
        <f t="shared" si="4"/>
        <v>377</v>
      </c>
      <c r="AA49" s="16">
        <f>IF('Calculation Sheet'!$D$11,'Manager Sheet'!$E$11,NA())</f>
        <v>200</v>
      </c>
    </row>
    <row r="50" spans="15:27" x14ac:dyDescent="0.25">
      <c r="O50" s="4">
        <v>42</v>
      </c>
      <c r="P50" s="4">
        <f t="shared" si="5"/>
        <v>1197</v>
      </c>
      <c r="Q50" s="5">
        <f>'Manager Sheet'!U49</f>
        <v>734</v>
      </c>
      <c r="R50" s="5">
        <f t="shared" si="0"/>
        <v>734</v>
      </c>
      <c r="S50" s="5">
        <f t="shared" si="1"/>
        <v>0</v>
      </c>
      <c r="T50" s="5">
        <f t="shared" si="2"/>
        <v>463</v>
      </c>
      <c r="U50" s="42">
        <f>T50*'Constants Sheet'!$E$13</f>
        <v>38.054794520547944</v>
      </c>
      <c r="V50" s="40">
        <f>IF(T50&lt;'Manager Sheet'!$E$11,'Manager Sheet'!$E$14,0)</f>
        <v>0</v>
      </c>
      <c r="W50" s="45">
        <f>IFERROR(VLOOKUP(V50,'Constants Sheet'!$H$11:$J$14,3,TRUE),0)</f>
        <v>0</v>
      </c>
      <c r="Y50" s="15">
        <f t="shared" si="3"/>
        <v>463</v>
      </c>
      <c r="Z50">
        <f t="shared" si="4"/>
        <v>734</v>
      </c>
      <c r="AA50" s="16">
        <f>IF('Calculation Sheet'!$D$11,'Manager Sheet'!$E$11,NA())</f>
        <v>200</v>
      </c>
    </row>
    <row r="51" spans="15:27" x14ac:dyDescent="0.25">
      <c r="O51" s="4">
        <v>43</v>
      </c>
      <c r="P51" s="4">
        <f t="shared" si="5"/>
        <v>463</v>
      </c>
      <c r="Q51" s="5">
        <f>'Manager Sheet'!U50</f>
        <v>388</v>
      </c>
      <c r="R51" s="5">
        <f t="shared" si="0"/>
        <v>388</v>
      </c>
      <c r="S51" s="5">
        <f t="shared" si="1"/>
        <v>0</v>
      </c>
      <c r="T51" s="5">
        <f t="shared" si="2"/>
        <v>75</v>
      </c>
      <c r="U51" s="42">
        <f>T51*'Constants Sheet'!$E$13</f>
        <v>6.1643835616438354</v>
      </c>
      <c r="V51" s="40">
        <f>IF(T51&lt;'Manager Sheet'!$E$11,'Manager Sheet'!$E$14,0)</f>
        <v>5000</v>
      </c>
      <c r="W51" s="45">
        <f>IFERROR(VLOOKUP(V51,'Constants Sheet'!$H$11:$J$14,3,TRUE),0)</f>
        <v>175</v>
      </c>
      <c r="Y51" s="15">
        <f t="shared" si="3"/>
        <v>75</v>
      </c>
      <c r="Z51">
        <f t="shared" si="4"/>
        <v>388</v>
      </c>
      <c r="AA51" s="16">
        <f>IF('Calculation Sheet'!$D$11,'Manager Sheet'!$E$11,NA())</f>
        <v>200</v>
      </c>
    </row>
    <row r="52" spans="15:27" x14ac:dyDescent="0.25">
      <c r="O52" s="4">
        <v>44</v>
      </c>
      <c r="P52" s="4">
        <f t="shared" si="5"/>
        <v>5075</v>
      </c>
      <c r="Q52" s="5">
        <f>'Manager Sheet'!U51</f>
        <v>492</v>
      </c>
      <c r="R52" s="5">
        <f t="shared" si="0"/>
        <v>492</v>
      </c>
      <c r="S52" s="5">
        <f t="shared" si="1"/>
        <v>0</v>
      </c>
      <c r="T52" s="5">
        <f t="shared" si="2"/>
        <v>4583</v>
      </c>
      <c r="U52" s="42">
        <f>T52*'Constants Sheet'!$E$13</f>
        <v>376.6849315068493</v>
      </c>
      <c r="V52" s="40">
        <f>IF(T52&lt;'Manager Sheet'!$E$11,'Manager Sheet'!$E$14,0)</f>
        <v>0</v>
      </c>
      <c r="W52" s="45">
        <f>IFERROR(VLOOKUP(V52,'Constants Sheet'!$H$11:$J$14,3,TRUE),0)</f>
        <v>0</v>
      </c>
      <c r="Y52" s="15">
        <f t="shared" si="3"/>
        <v>4583</v>
      </c>
      <c r="Z52">
        <f t="shared" si="4"/>
        <v>492</v>
      </c>
      <c r="AA52" s="16">
        <f>IF('Calculation Sheet'!$D$11,'Manager Sheet'!$E$11,NA())</f>
        <v>200</v>
      </c>
    </row>
    <row r="53" spans="15:27" x14ac:dyDescent="0.25">
      <c r="O53" s="4">
        <v>45</v>
      </c>
      <c r="P53" s="4">
        <f t="shared" si="5"/>
        <v>4583</v>
      </c>
      <c r="Q53" s="5">
        <f>'Manager Sheet'!U52</f>
        <v>345</v>
      </c>
      <c r="R53" s="5">
        <f t="shared" si="0"/>
        <v>345</v>
      </c>
      <c r="S53" s="5">
        <f t="shared" si="1"/>
        <v>0</v>
      </c>
      <c r="T53" s="5">
        <f t="shared" si="2"/>
        <v>4238</v>
      </c>
      <c r="U53" s="42">
        <f>T53*'Constants Sheet'!$E$13</f>
        <v>348.32876712328766</v>
      </c>
      <c r="V53" s="40">
        <f>IF(T53&lt;'Manager Sheet'!$E$11,'Manager Sheet'!$E$14,0)</f>
        <v>0</v>
      </c>
      <c r="W53" s="45">
        <f>IFERROR(VLOOKUP(V53,'Constants Sheet'!$H$11:$J$14,3,TRUE),0)</f>
        <v>0</v>
      </c>
      <c r="Y53" s="15">
        <f t="shared" si="3"/>
        <v>4238</v>
      </c>
      <c r="Z53">
        <f t="shared" si="4"/>
        <v>345</v>
      </c>
      <c r="AA53" s="16">
        <f>IF('Calculation Sheet'!$D$11,'Manager Sheet'!$E$11,NA())</f>
        <v>200</v>
      </c>
    </row>
    <row r="54" spans="15:27" x14ac:dyDescent="0.25">
      <c r="O54" s="4">
        <v>46</v>
      </c>
      <c r="P54" s="4">
        <f t="shared" si="5"/>
        <v>4238</v>
      </c>
      <c r="Q54" s="5">
        <f>'Manager Sheet'!U53</f>
        <v>476</v>
      </c>
      <c r="R54" s="5">
        <f t="shared" si="0"/>
        <v>476</v>
      </c>
      <c r="S54" s="5">
        <f t="shared" si="1"/>
        <v>0</v>
      </c>
      <c r="T54" s="5">
        <f t="shared" si="2"/>
        <v>3762</v>
      </c>
      <c r="U54" s="42">
        <f>T54*'Constants Sheet'!$E$13</f>
        <v>309.20547945205476</v>
      </c>
      <c r="V54" s="40">
        <f>IF(T54&lt;'Manager Sheet'!$E$11,'Manager Sheet'!$E$14,0)</f>
        <v>0</v>
      </c>
      <c r="W54" s="45">
        <f>IFERROR(VLOOKUP(V54,'Constants Sheet'!$H$11:$J$14,3,TRUE),0)</f>
        <v>0</v>
      </c>
      <c r="Y54" s="15">
        <f t="shared" si="3"/>
        <v>3762</v>
      </c>
      <c r="Z54">
        <f t="shared" si="4"/>
        <v>476</v>
      </c>
      <c r="AA54" s="16">
        <f>IF('Calculation Sheet'!$D$11,'Manager Sheet'!$E$11,NA())</f>
        <v>200</v>
      </c>
    </row>
    <row r="55" spans="15:27" x14ac:dyDescent="0.25">
      <c r="O55" s="4">
        <v>47</v>
      </c>
      <c r="P55" s="4">
        <f t="shared" si="5"/>
        <v>3762</v>
      </c>
      <c r="Q55" s="5">
        <f>'Manager Sheet'!U54</f>
        <v>565</v>
      </c>
      <c r="R55" s="5">
        <f t="shared" si="0"/>
        <v>565</v>
      </c>
      <c r="S55" s="5">
        <f t="shared" si="1"/>
        <v>0</v>
      </c>
      <c r="T55" s="5">
        <f t="shared" si="2"/>
        <v>3197</v>
      </c>
      <c r="U55" s="42">
        <f>T55*'Constants Sheet'!$E$13</f>
        <v>262.76712328767121</v>
      </c>
      <c r="V55" s="40">
        <f>IF(T55&lt;'Manager Sheet'!$E$11,'Manager Sheet'!$E$14,0)</f>
        <v>0</v>
      </c>
      <c r="W55" s="45">
        <f>IFERROR(VLOOKUP(V55,'Constants Sheet'!$H$11:$J$14,3,TRUE),0)</f>
        <v>0</v>
      </c>
      <c r="Y55" s="15">
        <f t="shared" si="3"/>
        <v>3197</v>
      </c>
      <c r="Z55">
        <f t="shared" si="4"/>
        <v>565</v>
      </c>
      <c r="AA55" s="16">
        <f>IF('Calculation Sheet'!$D$11,'Manager Sheet'!$E$11,NA())</f>
        <v>200</v>
      </c>
    </row>
    <row r="56" spans="15:27" x14ac:dyDescent="0.25">
      <c r="O56" s="4">
        <v>48</v>
      </c>
      <c r="P56" s="4">
        <f t="shared" si="5"/>
        <v>3197</v>
      </c>
      <c r="Q56" s="5">
        <f>'Manager Sheet'!U55</f>
        <v>595</v>
      </c>
      <c r="R56" s="5">
        <f t="shared" si="0"/>
        <v>595</v>
      </c>
      <c r="S56" s="5">
        <f t="shared" si="1"/>
        <v>0</v>
      </c>
      <c r="T56" s="5">
        <f t="shared" si="2"/>
        <v>2602</v>
      </c>
      <c r="U56" s="42">
        <f>T56*'Constants Sheet'!$E$13</f>
        <v>213.86301369863011</v>
      </c>
      <c r="V56" s="40">
        <f>IF(T56&lt;'Manager Sheet'!$E$11,'Manager Sheet'!$E$14,0)</f>
        <v>0</v>
      </c>
      <c r="W56" s="45">
        <f>IFERROR(VLOOKUP(V56,'Constants Sheet'!$H$11:$J$14,3,TRUE),0)</f>
        <v>0</v>
      </c>
      <c r="Y56" s="15">
        <f t="shared" si="3"/>
        <v>2602</v>
      </c>
      <c r="Z56">
        <f t="shared" si="4"/>
        <v>595</v>
      </c>
      <c r="AA56" s="16">
        <f>IF('Calculation Sheet'!$D$11,'Manager Sheet'!$E$11,NA())</f>
        <v>200</v>
      </c>
    </row>
    <row r="57" spans="15:27" x14ac:dyDescent="0.25">
      <c r="O57" s="4">
        <v>49</v>
      </c>
      <c r="P57" s="4">
        <f t="shared" si="5"/>
        <v>2602</v>
      </c>
      <c r="Q57" s="5">
        <f>'Manager Sheet'!U56</f>
        <v>585</v>
      </c>
      <c r="R57" s="5">
        <f t="shared" si="0"/>
        <v>585</v>
      </c>
      <c r="S57" s="5">
        <f t="shared" si="1"/>
        <v>0</v>
      </c>
      <c r="T57" s="5">
        <f t="shared" si="2"/>
        <v>2017</v>
      </c>
      <c r="U57" s="42">
        <f>T57*'Constants Sheet'!$E$13</f>
        <v>165.7808219178082</v>
      </c>
      <c r="V57" s="40">
        <f>IF(T57&lt;'Manager Sheet'!$E$11,'Manager Sheet'!$E$14,0)</f>
        <v>0</v>
      </c>
      <c r="W57" s="45">
        <f>IFERROR(VLOOKUP(V57,'Constants Sheet'!$H$11:$J$14,3,TRUE),0)</f>
        <v>0</v>
      </c>
      <c r="Y57" s="15">
        <f t="shared" si="3"/>
        <v>2017</v>
      </c>
      <c r="Z57">
        <f t="shared" si="4"/>
        <v>585</v>
      </c>
      <c r="AA57" s="16">
        <f>IF('Calculation Sheet'!$D$11,'Manager Sheet'!$E$11,NA())</f>
        <v>200</v>
      </c>
    </row>
    <row r="58" spans="15:27" x14ac:dyDescent="0.25">
      <c r="O58" s="4">
        <v>50</v>
      </c>
      <c r="P58" s="4">
        <f t="shared" si="5"/>
        <v>2017</v>
      </c>
      <c r="Q58" s="5">
        <f>'Manager Sheet'!U57</f>
        <v>181</v>
      </c>
      <c r="R58" s="5">
        <f t="shared" si="0"/>
        <v>181</v>
      </c>
      <c r="S58" s="5">
        <f t="shared" si="1"/>
        <v>0</v>
      </c>
      <c r="T58" s="5">
        <f t="shared" si="2"/>
        <v>1836</v>
      </c>
      <c r="U58" s="42">
        <f>T58*'Constants Sheet'!$E$13</f>
        <v>150.9041095890411</v>
      </c>
      <c r="V58" s="40">
        <f>IF(T58&lt;'Manager Sheet'!$E$11,'Manager Sheet'!$E$14,0)</f>
        <v>0</v>
      </c>
      <c r="W58" s="45">
        <f>IFERROR(VLOOKUP(V58,'Constants Sheet'!$H$11:$J$14,3,TRUE),0)</f>
        <v>0</v>
      </c>
      <c r="Y58" s="15">
        <f t="shared" si="3"/>
        <v>1836</v>
      </c>
      <c r="Z58">
        <f t="shared" si="4"/>
        <v>181</v>
      </c>
      <c r="AA58" s="16">
        <f>IF('Calculation Sheet'!$D$11,'Manager Sheet'!$E$11,NA())</f>
        <v>200</v>
      </c>
    </row>
    <row r="59" spans="15:27" x14ac:dyDescent="0.25">
      <c r="O59" s="4">
        <v>51</v>
      </c>
      <c r="P59" s="4">
        <f t="shared" si="5"/>
        <v>1836</v>
      </c>
      <c r="Q59" s="5">
        <f>'Manager Sheet'!U58</f>
        <v>461</v>
      </c>
      <c r="R59" s="5">
        <f t="shared" si="0"/>
        <v>461</v>
      </c>
      <c r="S59" s="5">
        <f t="shared" si="1"/>
        <v>0</v>
      </c>
      <c r="T59" s="5">
        <f t="shared" si="2"/>
        <v>1375</v>
      </c>
      <c r="U59" s="42">
        <f>T59*'Constants Sheet'!$E$13</f>
        <v>113.01369863013699</v>
      </c>
      <c r="V59" s="40">
        <f>IF(T59&lt;'Manager Sheet'!$E$11,'Manager Sheet'!$E$14,0)</f>
        <v>0</v>
      </c>
      <c r="W59" s="45">
        <f>IFERROR(VLOOKUP(V59,'Constants Sheet'!$H$11:$J$14,3,TRUE),0)</f>
        <v>0</v>
      </c>
      <c r="Y59" s="15">
        <f t="shared" si="3"/>
        <v>1375</v>
      </c>
      <c r="Z59">
        <f t="shared" si="4"/>
        <v>461</v>
      </c>
      <c r="AA59" s="16">
        <f>IF('Calculation Sheet'!$D$11,'Manager Sheet'!$E$11,NA())</f>
        <v>200</v>
      </c>
    </row>
    <row r="60" spans="15:27" x14ac:dyDescent="0.25">
      <c r="O60" s="4">
        <v>52</v>
      </c>
      <c r="P60" s="4">
        <f t="shared" si="5"/>
        <v>1375</v>
      </c>
      <c r="Q60" s="5">
        <f>'Manager Sheet'!U59</f>
        <v>581</v>
      </c>
      <c r="R60" s="5">
        <f t="shared" si="0"/>
        <v>581</v>
      </c>
      <c r="S60" s="5">
        <f t="shared" si="1"/>
        <v>0</v>
      </c>
      <c r="T60" s="5">
        <f t="shared" si="2"/>
        <v>794</v>
      </c>
      <c r="U60" s="42">
        <f>T60*'Constants Sheet'!$E$13</f>
        <v>65.260273972602732</v>
      </c>
      <c r="V60" s="40">
        <f>IF(T60&lt;'Manager Sheet'!$E$11,'Manager Sheet'!$E$14,0)</f>
        <v>0</v>
      </c>
      <c r="W60" s="45">
        <f>IFERROR(VLOOKUP(V60,'Constants Sheet'!$H$11:$J$14,3,TRUE),0)</f>
        <v>0</v>
      </c>
      <c r="Y60" s="15">
        <f t="shared" si="3"/>
        <v>794</v>
      </c>
      <c r="Z60">
        <f t="shared" si="4"/>
        <v>581</v>
      </c>
      <c r="AA60" s="16">
        <f>IF('Calculation Sheet'!$D$11,'Manager Sheet'!$E$11,NA())</f>
        <v>200</v>
      </c>
    </row>
    <row r="61" spans="15:27" x14ac:dyDescent="0.25">
      <c r="O61" s="4">
        <v>53</v>
      </c>
      <c r="P61" s="4">
        <f t="shared" si="5"/>
        <v>794</v>
      </c>
      <c r="Q61" s="5">
        <f>'Manager Sheet'!U60</f>
        <v>486</v>
      </c>
      <c r="R61" s="5">
        <f t="shared" si="0"/>
        <v>486</v>
      </c>
      <c r="S61" s="5">
        <f t="shared" si="1"/>
        <v>0</v>
      </c>
      <c r="T61" s="5">
        <f t="shared" si="2"/>
        <v>308</v>
      </c>
      <c r="U61" s="42">
        <f>T61*'Constants Sheet'!$E$13</f>
        <v>25.315068493150683</v>
      </c>
      <c r="V61" s="40">
        <f>IF(T61&lt;'Manager Sheet'!$E$11,'Manager Sheet'!$E$14,0)</f>
        <v>0</v>
      </c>
      <c r="W61" s="45">
        <f>IFERROR(VLOOKUP(V61,'Constants Sheet'!$H$11:$J$14,3,TRUE),0)</f>
        <v>0</v>
      </c>
      <c r="Y61" s="15">
        <f t="shared" si="3"/>
        <v>308</v>
      </c>
      <c r="Z61">
        <f t="shared" si="4"/>
        <v>486</v>
      </c>
      <c r="AA61" s="16">
        <f>IF('Calculation Sheet'!$D$11,'Manager Sheet'!$E$11,NA())</f>
        <v>200</v>
      </c>
    </row>
    <row r="62" spans="15:27" x14ac:dyDescent="0.25">
      <c r="O62" s="4">
        <v>54</v>
      </c>
      <c r="P62" s="4">
        <f t="shared" si="5"/>
        <v>308</v>
      </c>
      <c r="Q62" s="5">
        <f>'Manager Sheet'!U61</f>
        <v>516</v>
      </c>
      <c r="R62" s="5">
        <f t="shared" si="0"/>
        <v>308</v>
      </c>
      <c r="S62" s="5">
        <f t="shared" si="1"/>
        <v>208</v>
      </c>
      <c r="T62" s="5">
        <f t="shared" si="2"/>
        <v>0</v>
      </c>
      <c r="U62" s="42">
        <f>T62*'Constants Sheet'!$E$13</f>
        <v>0</v>
      </c>
      <c r="V62" s="40">
        <f>IF(T62&lt;'Manager Sheet'!$E$11,'Manager Sheet'!$E$14,0)</f>
        <v>5000</v>
      </c>
      <c r="W62" s="45">
        <f>IFERROR(VLOOKUP(V62,'Constants Sheet'!$H$11:$J$14,3,TRUE),0)</f>
        <v>175</v>
      </c>
      <c r="Y62" s="15">
        <f t="shared" si="3"/>
        <v>0</v>
      </c>
      <c r="Z62">
        <f t="shared" si="4"/>
        <v>516</v>
      </c>
      <c r="AA62" s="16">
        <f>IF('Calculation Sheet'!$D$11,'Manager Sheet'!$E$11,NA())</f>
        <v>200</v>
      </c>
    </row>
    <row r="63" spans="15:27" x14ac:dyDescent="0.25">
      <c r="O63" s="4">
        <v>55</v>
      </c>
      <c r="P63" s="4">
        <f t="shared" si="5"/>
        <v>5000</v>
      </c>
      <c r="Q63" s="5">
        <f>'Manager Sheet'!U62</f>
        <v>779</v>
      </c>
      <c r="R63" s="5">
        <f t="shared" si="0"/>
        <v>779</v>
      </c>
      <c r="S63" s="5">
        <f t="shared" si="1"/>
        <v>0</v>
      </c>
      <c r="T63" s="5">
        <f t="shared" si="2"/>
        <v>4221</v>
      </c>
      <c r="U63" s="42">
        <f>T63*'Constants Sheet'!$E$13</f>
        <v>346.93150684931504</v>
      </c>
      <c r="V63" s="40">
        <f>IF(T63&lt;'Manager Sheet'!$E$11,'Manager Sheet'!$E$14,0)</f>
        <v>0</v>
      </c>
      <c r="W63" s="45">
        <f>IFERROR(VLOOKUP(V63,'Constants Sheet'!$H$11:$J$14,3,TRUE),0)</f>
        <v>0</v>
      </c>
      <c r="Y63" s="15">
        <f t="shared" si="3"/>
        <v>4221</v>
      </c>
      <c r="Z63">
        <f t="shared" si="4"/>
        <v>779</v>
      </c>
      <c r="AA63" s="16">
        <f>IF('Calculation Sheet'!$D$11,'Manager Sheet'!$E$11,NA())</f>
        <v>200</v>
      </c>
    </row>
    <row r="64" spans="15:27" x14ac:dyDescent="0.25">
      <c r="O64" s="4">
        <v>56</v>
      </c>
      <c r="P64" s="4">
        <f t="shared" si="5"/>
        <v>4221</v>
      </c>
      <c r="Q64" s="5">
        <f>'Manager Sheet'!U63</f>
        <v>753</v>
      </c>
      <c r="R64" s="5">
        <f t="shared" si="0"/>
        <v>753</v>
      </c>
      <c r="S64" s="5">
        <f t="shared" si="1"/>
        <v>0</v>
      </c>
      <c r="T64" s="5">
        <f t="shared" si="2"/>
        <v>3468</v>
      </c>
      <c r="U64" s="42">
        <f>T64*'Constants Sheet'!$E$13</f>
        <v>285.04109589041093</v>
      </c>
      <c r="V64" s="40">
        <f>IF(T64&lt;'Manager Sheet'!$E$11,'Manager Sheet'!$E$14,0)</f>
        <v>0</v>
      </c>
      <c r="W64" s="45">
        <f>IFERROR(VLOOKUP(V64,'Constants Sheet'!$H$11:$J$14,3,TRUE),0)</f>
        <v>0</v>
      </c>
      <c r="Y64" s="15">
        <f t="shared" si="3"/>
        <v>3468</v>
      </c>
      <c r="Z64">
        <f t="shared" si="4"/>
        <v>753</v>
      </c>
      <c r="AA64" s="16">
        <f>IF('Calculation Sheet'!$D$11,'Manager Sheet'!$E$11,NA())</f>
        <v>200</v>
      </c>
    </row>
    <row r="65" spans="15:27" x14ac:dyDescent="0.25">
      <c r="O65" s="4">
        <v>57</v>
      </c>
      <c r="P65" s="4">
        <f t="shared" si="5"/>
        <v>3468</v>
      </c>
      <c r="Q65" s="5">
        <f>'Manager Sheet'!U64</f>
        <v>600</v>
      </c>
      <c r="R65" s="5">
        <f t="shared" si="0"/>
        <v>600</v>
      </c>
      <c r="S65" s="5">
        <f t="shared" si="1"/>
        <v>0</v>
      </c>
      <c r="T65" s="5">
        <f t="shared" si="2"/>
        <v>2868</v>
      </c>
      <c r="U65" s="42">
        <f>T65*'Constants Sheet'!$E$13</f>
        <v>235.72602739726025</v>
      </c>
      <c r="V65" s="40">
        <f>IF(T65&lt;'Manager Sheet'!$E$11,'Manager Sheet'!$E$14,0)</f>
        <v>0</v>
      </c>
      <c r="W65" s="45">
        <f>IFERROR(VLOOKUP(V65,'Constants Sheet'!$H$11:$J$14,3,TRUE),0)</f>
        <v>0</v>
      </c>
      <c r="Y65" s="15">
        <f t="shared" si="3"/>
        <v>2868</v>
      </c>
      <c r="Z65">
        <f t="shared" si="4"/>
        <v>600</v>
      </c>
      <c r="AA65" s="16">
        <f>IF('Calculation Sheet'!$D$11,'Manager Sheet'!$E$11,NA())</f>
        <v>200</v>
      </c>
    </row>
    <row r="66" spans="15:27" x14ac:dyDescent="0.25">
      <c r="O66" s="4">
        <v>58</v>
      </c>
      <c r="P66" s="4">
        <f t="shared" si="5"/>
        <v>2868</v>
      </c>
      <c r="Q66" s="5">
        <f>'Manager Sheet'!U65</f>
        <v>484</v>
      </c>
      <c r="R66" s="5">
        <f t="shared" si="0"/>
        <v>484</v>
      </c>
      <c r="S66" s="5">
        <f t="shared" si="1"/>
        <v>0</v>
      </c>
      <c r="T66" s="5">
        <f t="shared" si="2"/>
        <v>2384</v>
      </c>
      <c r="U66" s="42">
        <f>T66*'Constants Sheet'!$E$13</f>
        <v>195.94520547945206</v>
      </c>
      <c r="V66" s="40">
        <f>IF(T66&lt;'Manager Sheet'!$E$11,'Manager Sheet'!$E$14,0)</f>
        <v>0</v>
      </c>
      <c r="W66" s="45">
        <f>IFERROR(VLOOKUP(V66,'Constants Sheet'!$H$11:$J$14,3,TRUE),0)</f>
        <v>0</v>
      </c>
      <c r="Y66" s="15">
        <f t="shared" si="3"/>
        <v>2384</v>
      </c>
      <c r="Z66">
        <f t="shared" si="4"/>
        <v>484</v>
      </c>
      <c r="AA66" s="16">
        <f>IF('Calculation Sheet'!$D$11,'Manager Sheet'!$E$11,NA())</f>
        <v>200</v>
      </c>
    </row>
    <row r="67" spans="15:27" x14ac:dyDescent="0.25">
      <c r="O67" s="4">
        <v>59</v>
      </c>
      <c r="P67" s="4">
        <f t="shared" si="5"/>
        <v>2384</v>
      </c>
      <c r="Q67" s="5">
        <f>'Manager Sheet'!U66</f>
        <v>618</v>
      </c>
      <c r="R67" s="5">
        <f t="shared" si="0"/>
        <v>618</v>
      </c>
      <c r="S67" s="5">
        <f t="shared" si="1"/>
        <v>0</v>
      </c>
      <c r="T67" s="5">
        <f t="shared" si="2"/>
        <v>1766</v>
      </c>
      <c r="U67" s="42">
        <f>T67*'Constants Sheet'!$E$13</f>
        <v>145.15068493150685</v>
      </c>
      <c r="V67" s="40">
        <f>IF(T67&lt;'Manager Sheet'!$E$11,'Manager Sheet'!$E$14,0)</f>
        <v>0</v>
      </c>
      <c r="W67" s="45">
        <f>IFERROR(VLOOKUP(V67,'Constants Sheet'!$H$11:$J$14,3,TRUE),0)</f>
        <v>0</v>
      </c>
      <c r="Y67" s="15">
        <f t="shared" si="3"/>
        <v>1766</v>
      </c>
      <c r="Z67">
        <f t="shared" si="4"/>
        <v>618</v>
      </c>
      <c r="AA67" s="16">
        <f>IF('Calculation Sheet'!$D$11,'Manager Sheet'!$E$11,NA())</f>
        <v>200</v>
      </c>
    </row>
    <row r="68" spans="15:27" x14ac:dyDescent="0.25">
      <c r="O68" s="4">
        <v>60</v>
      </c>
      <c r="P68" s="4">
        <f t="shared" si="5"/>
        <v>1766</v>
      </c>
      <c r="Q68" s="5">
        <f>'Manager Sheet'!U67</f>
        <v>772</v>
      </c>
      <c r="R68" s="5">
        <f t="shared" si="0"/>
        <v>772</v>
      </c>
      <c r="S68" s="5">
        <f t="shared" si="1"/>
        <v>0</v>
      </c>
      <c r="T68" s="5">
        <f t="shared" si="2"/>
        <v>994</v>
      </c>
      <c r="U68" s="42">
        <f>T68*'Constants Sheet'!$E$13</f>
        <v>81.698630136986296</v>
      </c>
      <c r="V68" s="40">
        <f>IF(T68&lt;'Manager Sheet'!$E$11,'Manager Sheet'!$E$14,0)</f>
        <v>0</v>
      </c>
      <c r="W68" s="45">
        <f>IFERROR(VLOOKUP(V68,'Constants Sheet'!$H$11:$J$14,3,TRUE),0)</f>
        <v>0</v>
      </c>
      <c r="Y68" s="15">
        <f t="shared" si="3"/>
        <v>994</v>
      </c>
      <c r="Z68">
        <f t="shared" si="4"/>
        <v>772</v>
      </c>
      <c r="AA68" s="16">
        <f>IF('Calculation Sheet'!$D$11,'Manager Sheet'!$E$11,NA())</f>
        <v>200</v>
      </c>
    </row>
    <row r="69" spans="15:27" x14ac:dyDescent="0.25">
      <c r="O69" s="4">
        <v>61</v>
      </c>
      <c r="P69" s="4">
        <f t="shared" si="5"/>
        <v>994</v>
      </c>
      <c r="Q69" s="5">
        <f>'Manager Sheet'!U68</f>
        <v>392</v>
      </c>
      <c r="R69" s="5">
        <f t="shared" si="0"/>
        <v>392</v>
      </c>
      <c r="S69" s="5">
        <f t="shared" si="1"/>
        <v>0</v>
      </c>
      <c r="T69" s="5">
        <f t="shared" si="2"/>
        <v>602</v>
      </c>
      <c r="U69" s="42">
        <f>T69*'Constants Sheet'!$E$13</f>
        <v>49.479452054794521</v>
      </c>
      <c r="V69" s="40">
        <f>IF(T69&lt;'Manager Sheet'!$E$11,'Manager Sheet'!$E$14,0)</f>
        <v>0</v>
      </c>
      <c r="W69" s="45">
        <f>IFERROR(VLOOKUP(V69,'Constants Sheet'!$H$11:$J$14,3,TRUE),0)</f>
        <v>0</v>
      </c>
      <c r="Y69" s="15">
        <f t="shared" si="3"/>
        <v>602</v>
      </c>
      <c r="Z69">
        <f t="shared" si="4"/>
        <v>392</v>
      </c>
      <c r="AA69" s="16">
        <f>IF('Calculation Sheet'!$D$11,'Manager Sheet'!$E$11,NA())</f>
        <v>200</v>
      </c>
    </row>
    <row r="70" spans="15:27" x14ac:dyDescent="0.25">
      <c r="O70" s="4">
        <v>62</v>
      </c>
      <c r="P70" s="4">
        <f t="shared" si="5"/>
        <v>602</v>
      </c>
      <c r="Q70" s="5">
        <f>'Manager Sheet'!U69</f>
        <v>361</v>
      </c>
      <c r="R70" s="5">
        <f t="shared" si="0"/>
        <v>361</v>
      </c>
      <c r="S70" s="5">
        <f t="shared" si="1"/>
        <v>0</v>
      </c>
      <c r="T70" s="5">
        <f t="shared" si="2"/>
        <v>241</v>
      </c>
      <c r="U70" s="42">
        <f>T70*'Constants Sheet'!$E$13</f>
        <v>19.80821917808219</v>
      </c>
      <c r="V70" s="40">
        <f>IF(T70&lt;'Manager Sheet'!$E$11,'Manager Sheet'!$E$14,0)</f>
        <v>0</v>
      </c>
      <c r="W70" s="45">
        <f>IFERROR(VLOOKUP(V70,'Constants Sheet'!$H$11:$J$14,3,TRUE),0)</f>
        <v>0</v>
      </c>
      <c r="Y70" s="15">
        <f t="shared" si="3"/>
        <v>241</v>
      </c>
      <c r="Z70">
        <f t="shared" si="4"/>
        <v>361</v>
      </c>
      <c r="AA70" s="16">
        <f>IF('Calculation Sheet'!$D$11,'Manager Sheet'!$E$11,NA())</f>
        <v>200</v>
      </c>
    </row>
    <row r="71" spans="15:27" x14ac:dyDescent="0.25">
      <c r="O71" s="4">
        <v>63</v>
      </c>
      <c r="P71" s="4">
        <f t="shared" si="5"/>
        <v>241</v>
      </c>
      <c r="Q71" s="5">
        <f>'Manager Sheet'!U70</f>
        <v>299</v>
      </c>
      <c r="R71" s="5">
        <f t="shared" si="0"/>
        <v>241</v>
      </c>
      <c r="S71" s="5">
        <f t="shared" si="1"/>
        <v>58</v>
      </c>
      <c r="T71" s="5">
        <f t="shared" si="2"/>
        <v>0</v>
      </c>
      <c r="U71" s="42">
        <f>T71*'Constants Sheet'!$E$13</f>
        <v>0</v>
      </c>
      <c r="V71" s="40">
        <f>IF(T71&lt;'Manager Sheet'!$E$11,'Manager Sheet'!$E$14,0)</f>
        <v>5000</v>
      </c>
      <c r="W71" s="45">
        <f>IFERROR(VLOOKUP(V71,'Constants Sheet'!$H$11:$J$14,3,TRUE),0)</f>
        <v>175</v>
      </c>
      <c r="Y71" s="15">
        <f t="shared" si="3"/>
        <v>0</v>
      </c>
      <c r="Z71">
        <f t="shared" si="4"/>
        <v>299</v>
      </c>
      <c r="AA71" s="16">
        <f>IF('Calculation Sheet'!$D$11,'Manager Sheet'!$E$11,NA())</f>
        <v>200</v>
      </c>
    </row>
    <row r="72" spans="15:27" x14ac:dyDescent="0.25">
      <c r="O72" s="4">
        <v>64</v>
      </c>
      <c r="P72" s="4">
        <f t="shared" si="5"/>
        <v>5000</v>
      </c>
      <c r="Q72" s="5">
        <f>'Manager Sheet'!U71</f>
        <v>432</v>
      </c>
      <c r="R72" s="5">
        <f t="shared" si="0"/>
        <v>432</v>
      </c>
      <c r="S72" s="5">
        <f t="shared" si="1"/>
        <v>0</v>
      </c>
      <c r="T72" s="5">
        <f t="shared" si="2"/>
        <v>4568</v>
      </c>
      <c r="U72" s="42">
        <f>T72*'Constants Sheet'!$E$13</f>
        <v>375.45205479452051</v>
      </c>
      <c r="V72" s="40">
        <f>IF(T72&lt;'Manager Sheet'!$E$11,'Manager Sheet'!$E$14,0)</f>
        <v>0</v>
      </c>
      <c r="W72" s="45">
        <f>IFERROR(VLOOKUP(V72,'Constants Sheet'!$H$11:$J$14,3,TRUE),0)</f>
        <v>0</v>
      </c>
      <c r="Y72" s="15">
        <f t="shared" si="3"/>
        <v>4568</v>
      </c>
      <c r="Z72">
        <f t="shared" si="4"/>
        <v>432</v>
      </c>
      <c r="AA72" s="16">
        <f>IF('Calculation Sheet'!$D$11,'Manager Sheet'!$E$11,NA())</f>
        <v>200</v>
      </c>
    </row>
    <row r="73" spans="15:27" x14ac:dyDescent="0.25">
      <c r="O73" s="4">
        <v>65</v>
      </c>
      <c r="P73" s="4">
        <f t="shared" si="5"/>
        <v>4568</v>
      </c>
      <c r="Q73" s="5">
        <f>'Manager Sheet'!U72</f>
        <v>379</v>
      </c>
      <c r="R73" s="5">
        <f t="shared" si="0"/>
        <v>379</v>
      </c>
      <c r="S73" s="5">
        <f t="shared" si="1"/>
        <v>0</v>
      </c>
      <c r="T73" s="5">
        <f t="shared" si="2"/>
        <v>4189</v>
      </c>
      <c r="U73" s="42">
        <f>T73*'Constants Sheet'!$E$13</f>
        <v>344.30136986301369</v>
      </c>
      <c r="V73" s="40">
        <f>IF(T73&lt;'Manager Sheet'!$E$11,'Manager Sheet'!$E$14,0)</f>
        <v>0</v>
      </c>
      <c r="W73" s="45">
        <f>IFERROR(VLOOKUP(V73,'Constants Sheet'!$H$11:$J$14,3,TRUE),0)</f>
        <v>0</v>
      </c>
      <c r="Y73" s="15">
        <f t="shared" si="3"/>
        <v>4189</v>
      </c>
      <c r="Z73">
        <f t="shared" si="4"/>
        <v>379</v>
      </c>
      <c r="AA73" s="16">
        <f>IF('Calculation Sheet'!$D$11,'Manager Sheet'!$E$11,NA())</f>
        <v>200</v>
      </c>
    </row>
    <row r="74" spans="15:27" x14ac:dyDescent="0.25">
      <c r="O74" s="4">
        <v>66</v>
      </c>
      <c r="P74" s="4">
        <f t="shared" si="5"/>
        <v>4189</v>
      </c>
      <c r="Q74" s="5">
        <f>'Manager Sheet'!U73</f>
        <v>554</v>
      </c>
      <c r="R74" s="5">
        <f t="shared" ref="R74:R137" si="6">IF(P74&gt;Q74,Q74,P74)</f>
        <v>554</v>
      </c>
      <c r="S74" s="5">
        <f t="shared" ref="S74:S137" si="7">Q74-R74</f>
        <v>0</v>
      </c>
      <c r="T74" s="5">
        <f t="shared" ref="T74:T137" si="8">P74-R74</f>
        <v>3635</v>
      </c>
      <c r="U74" s="42">
        <f>T74*'Constants Sheet'!$E$13</f>
        <v>298.76712328767121</v>
      </c>
      <c r="V74" s="40">
        <f>IF(T74&lt;'Manager Sheet'!$E$11,'Manager Sheet'!$E$14,0)</f>
        <v>0</v>
      </c>
      <c r="W74" s="45">
        <f>IFERROR(VLOOKUP(V74,'Constants Sheet'!$H$11:$J$14,3,TRUE),0)</f>
        <v>0</v>
      </c>
      <c r="Y74" s="15">
        <f t="shared" ref="Y74:Y137" si="9">IF($D$10,T74,NA())</f>
        <v>3635</v>
      </c>
      <c r="Z74">
        <f t="shared" ref="Z74:Z137" si="10">IF($D$9,Q74,NA())</f>
        <v>554</v>
      </c>
      <c r="AA74" s="16">
        <f>IF('Calculation Sheet'!$D$11,'Manager Sheet'!$E$11,NA())</f>
        <v>200</v>
      </c>
    </row>
    <row r="75" spans="15:27" x14ac:dyDescent="0.25">
      <c r="O75" s="4">
        <v>67</v>
      </c>
      <c r="P75" s="4">
        <f t="shared" ref="P75:P138" si="11">T74+V74</f>
        <v>3635</v>
      </c>
      <c r="Q75" s="5">
        <f>'Manager Sheet'!U74</f>
        <v>504</v>
      </c>
      <c r="R75" s="5">
        <f t="shared" si="6"/>
        <v>504</v>
      </c>
      <c r="S75" s="5">
        <f t="shared" si="7"/>
        <v>0</v>
      </c>
      <c r="T75" s="5">
        <f t="shared" si="8"/>
        <v>3131</v>
      </c>
      <c r="U75" s="42">
        <f>T75*'Constants Sheet'!$E$13</f>
        <v>257.34246575342462</v>
      </c>
      <c r="V75" s="40">
        <f>IF(T75&lt;'Manager Sheet'!$E$11,'Manager Sheet'!$E$14,0)</f>
        <v>0</v>
      </c>
      <c r="W75" s="45">
        <f>IFERROR(VLOOKUP(V75,'Constants Sheet'!$H$11:$J$14,3,TRUE),0)</f>
        <v>0</v>
      </c>
      <c r="Y75" s="15">
        <f t="shared" si="9"/>
        <v>3131</v>
      </c>
      <c r="Z75">
        <f t="shared" si="10"/>
        <v>504</v>
      </c>
      <c r="AA75" s="16">
        <f>IF('Calculation Sheet'!$D$11,'Manager Sheet'!$E$11,NA())</f>
        <v>200</v>
      </c>
    </row>
    <row r="76" spans="15:27" x14ac:dyDescent="0.25">
      <c r="O76" s="4">
        <v>68</v>
      </c>
      <c r="P76" s="4">
        <f t="shared" si="11"/>
        <v>3131</v>
      </c>
      <c r="Q76" s="5">
        <f>'Manager Sheet'!U75</f>
        <v>454</v>
      </c>
      <c r="R76" s="5">
        <f t="shared" si="6"/>
        <v>454</v>
      </c>
      <c r="S76" s="5">
        <f t="shared" si="7"/>
        <v>0</v>
      </c>
      <c r="T76" s="5">
        <f t="shared" si="8"/>
        <v>2677</v>
      </c>
      <c r="U76" s="42">
        <f>T76*'Constants Sheet'!$E$13</f>
        <v>220.02739726027397</v>
      </c>
      <c r="V76" s="40">
        <f>IF(T76&lt;'Manager Sheet'!$E$11,'Manager Sheet'!$E$14,0)</f>
        <v>0</v>
      </c>
      <c r="W76" s="45">
        <f>IFERROR(VLOOKUP(V76,'Constants Sheet'!$H$11:$J$14,3,TRUE),0)</f>
        <v>0</v>
      </c>
      <c r="Y76" s="15">
        <f t="shared" si="9"/>
        <v>2677</v>
      </c>
      <c r="Z76">
        <f t="shared" si="10"/>
        <v>454</v>
      </c>
      <c r="AA76" s="16">
        <f>IF('Calculation Sheet'!$D$11,'Manager Sheet'!$E$11,NA())</f>
        <v>200</v>
      </c>
    </row>
    <row r="77" spans="15:27" x14ac:dyDescent="0.25">
      <c r="O77" s="4">
        <v>69</v>
      </c>
      <c r="P77" s="4">
        <f t="shared" si="11"/>
        <v>2677</v>
      </c>
      <c r="Q77" s="5">
        <f>'Manager Sheet'!U76</f>
        <v>619</v>
      </c>
      <c r="R77" s="5">
        <f t="shared" si="6"/>
        <v>619</v>
      </c>
      <c r="S77" s="5">
        <f t="shared" si="7"/>
        <v>0</v>
      </c>
      <c r="T77" s="5">
        <f t="shared" si="8"/>
        <v>2058</v>
      </c>
      <c r="U77" s="42">
        <f>T77*'Constants Sheet'!$E$13</f>
        <v>169.15068493150685</v>
      </c>
      <c r="V77" s="40">
        <f>IF(T77&lt;'Manager Sheet'!$E$11,'Manager Sheet'!$E$14,0)</f>
        <v>0</v>
      </c>
      <c r="W77" s="45">
        <f>IFERROR(VLOOKUP(V77,'Constants Sheet'!$H$11:$J$14,3,TRUE),0)</f>
        <v>0</v>
      </c>
      <c r="Y77" s="15">
        <f t="shared" si="9"/>
        <v>2058</v>
      </c>
      <c r="Z77">
        <f t="shared" si="10"/>
        <v>619</v>
      </c>
      <c r="AA77" s="16">
        <f>IF('Calculation Sheet'!$D$11,'Manager Sheet'!$E$11,NA())</f>
        <v>200</v>
      </c>
    </row>
    <row r="78" spans="15:27" x14ac:dyDescent="0.25">
      <c r="O78" s="4">
        <v>70</v>
      </c>
      <c r="P78" s="4">
        <f t="shared" si="11"/>
        <v>2058</v>
      </c>
      <c r="Q78" s="5">
        <f>'Manager Sheet'!U77</f>
        <v>454</v>
      </c>
      <c r="R78" s="5">
        <f t="shared" si="6"/>
        <v>454</v>
      </c>
      <c r="S78" s="5">
        <f t="shared" si="7"/>
        <v>0</v>
      </c>
      <c r="T78" s="5">
        <f t="shared" si="8"/>
        <v>1604</v>
      </c>
      <c r="U78" s="42">
        <f>T78*'Constants Sheet'!$E$13</f>
        <v>131.83561643835617</v>
      </c>
      <c r="V78" s="40">
        <f>IF(T78&lt;'Manager Sheet'!$E$11,'Manager Sheet'!$E$14,0)</f>
        <v>0</v>
      </c>
      <c r="W78" s="45">
        <f>IFERROR(VLOOKUP(V78,'Constants Sheet'!$H$11:$J$14,3,TRUE),0)</f>
        <v>0</v>
      </c>
      <c r="Y78" s="15">
        <f t="shared" si="9"/>
        <v>1604</v>
      </c>
      <c r="Z78">
        <f t="shared" si="10"/>
        <v>454</v>
      </c>
      <c r="AA78" s="16">
        <f>IF('Calculation Sheet'!$D$11,'Manager Sheet'!$E$11,NA())</f>
        <v>200</v>
      </c>
    </row>
    <row r="79" spans="15:27" x14ac:dyDescent="0.25">
      <c r="O79" s="4">
        <v>71</v>
      </c>
      <c r="P79" s="4">
        <f t="shared" si="11"/>
        <v>1604</v>
      </c>
      <c r="Q79" s="5">
        <f>'Manager Sheet'!U78</f>
        <v>442</v>
      </c>
      <c r="R79" s="5">
        <f t="shared" si="6"/>
        <v>442</v>
      </c>
      <c r="S79" s="5">
        <f t="shared" si="7"/>
        <v>0</v>
      </c>
      <c r="T79" s="5">
        <f t="shared" si="8"/>
        <v>1162</v>
      </c>
      <c r="U79" s="42">
        <f>T79*'Constants Sheet'!$E$13</f>
        <v>95.506849315068493</v>
      </c>
      <c r="V79" s="40">
        <f>IF(T79&lt;'Manager Sheet'!$E$11,'Manager Sheet'!$E$14,0)</f>
        <v>0</v>
      </c>
      <c r="W79" s="45">
        <f>IFERROR(VLOOKUP(V79,'Constants Sheet'!$H$11:$J$14,3,TRUE),0)</f>
        <v>0</v>
      </c>
      <c r="Y79" s="15">
        <f t="shared" si="9"/>
        <v>1162</v>
      </c>
      <c r="Z79">
        <f t="shared" si="10"/>
        <v>442</v>
      </c>
      <c r="AA79" s="16">
        <f>IF('Calculation Sheet'!$D$11,'Manager Sheet'!$E$11,NA())</f>
        <v>200</v>
      </c>
    </row>
    <row r="80" spans="15:27" x14ac:dyDescent="0.25">
      <c r="O80" s="4">
        <v>72</v>
      </c>
      <c r="P80" s="4">
        <f t="shared" si="11"/>
        <v>1162</v>
      </c>
      <c r="Q80" s="5">
        <f>'Manager Sheet'!U79</f>
        <v>458</v>
      </c>
      <c r="R80" s="5">
        <f t="shared" si="6"/>
        <v>458</v>
      </c>
      <c r="S80" s="5">
        <f t="shared" si="7"/>
        <v>0</v>
      </c>
      <c r="T80" s="5">
        <f t="shared" si="8"/>
        <v>704</v>
      </c>
      <c r="U80" s="42">
        <f>T80*'Constants Sheet'!$E$13</f>
        <v>57.863013698630134</v>
      </c>
      <c r="V80" s="40">
        <f>IF(T80&lt;'Manager Sheet'!$E$11,'Manager Sheet'!$E$14,0)</f>
        <v>0</v>
      </c>
      <c r="W80" s="45">
        <f>IFERROR(VLOOKUP(V80,'Constants Sheet'!$H$11:$J$14,3,TRUE),0)</f>
        <v>0</v>
      </c>
      <c r="Y80" s="15">
        <f t="shared" si="9"/>
        <v>704</v>
      </c>
      <c r="Z80">
        <f t="shared" si="10"/>
        <v>458</v>
      </c>
      <c r="AA80" s="16">
        <f>IF('Calculation Sheet'!$D$11,'Manager Sheet'!$E$11,NA())</f>
        <v>200</v>
      </c>
    </row>
    <row r="81" spans="15:27" x14ac:dyDescent="0.25">
      <c r="O81" s="4">
        <v>73</v>
      </c>
      <c r="P81" s="4">
        <f t="shared" si="11"/>
        <v>704</v>
      </c>
      <c r="Q81" s="5">
        <f>'Manager Sheet'!U80</f>
        <v>550</v>
      </c>
      <c r="R81" s="5">
        <f t="shared" si="6"/>
        <v>550</v>
      </c>
      <c r="S81" s="5">
        <f t="shared" si="7"/>
        <v>0</v>
      </c>
      <c r="T81" s="5">
        <f t="shared" si="8"/>
        <v>154</v>
      </c>
      <c r="U81" s="42">
        <f>T81*'Constants Sheet'!$E$13</f>
        <v>12.657534246575342</v>
      </c>
      <c r="V81" s="40">
        <f>IF(T81&lt;'Manager Sheet'!$E$11,'Manager Sheet'!$E$14,0)</f>
        <v>5000</v>
      </c>
      <c r="W81" s="45">
        <f>IFERROR(VLOOKUP(V81,'Constants Sheet'!$H$11:$J$14,3,TRUE),0)</f>
        <v>175</v>
      </c>
      <c r="Y81" s="15">
        <f t="shared" si="9"/>
        <v>154</v>
      </c>
      <c r="Z81">
        <f t="shared" si="10"/>
        <v>550</v>
      </c>
      <c r="AA81" s="16">
        <f>IF('Calculation Sheet'!$D$11,'Manager Sheet'!$E$11,NA())</f>
        <v>200</v>
      </c>
    </row>
    <row r="82" spans="15:27" x14ac:dyDescent="0.25">
      <c r="O82" s="4">
        <v>74</v>
      </c>
      <c r="P82" s="4">
        <f t="shared" si="11"/>
        <v>5154</v>
      </c>
      <c r="Q82" s="5">
        <f>'Manager Sheet'!U81</f>
        <v>569</v>
      </c>
      <c r="R82" s="5">
        <f t="shared" si="6"/>
        <v>569</v>
      </c>
      <c r="S82" s="5">
        <f t="shared" si="7"/>
        <v>0</v>
      </c>
      <c r="T82" s="5">
        <f t="shared" si="8"/>
        <v>4585</v>
      </c>
      <c r="U82" s="42">
        <f>T82*'Constants Sheet'!$E$13</f>
        <v>376.84931506849313</v>
      </c>
      <c r="V82" s="40">
        <f>IF(T82&lt;'Manager Sheet'!$E$11,'Manager Sheet'!$E$14,0)</f>
        <v>0</v>
      </c>
      <c r="W82" s="45">
        <f>IFERROR(VLOOKUP(V82,'Constants Sheet'!$H$11:$J$14,3,TRUE),0)</f>
        <v>0</v>
      </c>
      <c r="Y82" s="15">
        <f t="shared" si="9"/>
        <v>4585</v>
      </c>
      <c r="Z82">
        <f t="shared" si="10"/>
        <v>569</v>
      </c>
      <c r="AA82" s="16">
        <f>IF('Calculation Sheet'!$D$11,'Manager Sheet'!$E$11,NA())</f>
        <v>200</v>
      </c>
    </row>
    <row r="83" spans="15:27" x14ac:dyDescent="0.25">
      <c r="O83" s="4">
        <v>75</v>
      </c>
      <c r="P83" s="4">
        <f t="shared" si="11"/>
        <v>4585</v>
      </c>
      <c r="Q83" s="5">
        <f>'Manager Sheet'!U82</f>
        <v>599</v>
      </c>
      <c r="R83" s="5">
        <f t="shared" si="6"/>
        <v>599</v>
      </c>
      <c r="S83" s="5">
        <f t="shared" si="7"/>
        <v>0</v>
      </c>
      <c r="T83" s="5">
        <f t="shared" si="8"/>
        <v>3986</v>
      </c>
      <c r="U83" s="42">
        <f>T83*'Constants Sheet'!$E$13</f>
        <v>327.61643835616434</v>
      </c>
      <c r="V83" s="40">
        <f>IF(T83&lt;'Manager Sheet'!$E$11,'Manager Sheet'!$E$14,0)</f>
        <v>0</v>
      </c>
      <c r="W83" s="45">
        <f>IFERROR(VLOOKUP(V83,'Constants Sheet'!$H$11:$J$14,3,TRUE),0)</f>
        <v>0</v>
      </c>
      <c r="Y83" s="15">
        <f t="shared" si="9"/>
        <v>3986</v>
      </c>
      <c r="Z83">
        <f t="shared" si="10"/>
        <v>599</v>
      </c>
      <c r="AA83" s="16">
        <f>IF('Calculation Sheet'!$D$11,'Manager Sheet'!$E$11,NA())</f>
        <v>200</v>
      </c>
    </row>
    <row r="84" spans="15:27" x14ac:dyDescent="0.25">
      <c r="O84" s="4">
        <v>76</v>
      </c>
      <c r="P84" s="4">
        <f t="shared" si="11"/>
        <v>3986</v>
      </c>
      <c r="Q84" s="5">
        <f>'Manager Sheet'!U83</f>
        <v>582</v>
      </c>
      <c r="R84" s="5">
        <f t="shared" si="6"/>
        <v>582</v>
      </c>
      <c r="S84" s="5">
        <f t="shared" si="7"/>
        <v>0</v>
      </c>
      <c r="T84" s="5">
        <f t="shared" si="8"/>
        <v>3404</v>
      </c>
      <c r="U84" s="42">
        <f>T84*'Constants Sheet'!$E$13</f>
        <v>279.78082191780823</v>
      </c>
      <c r="V84" s="40">
        <f>IF(T84&lt;'Manager Sheet'!$E$11,'Manager Sheet'!$E$14,0)</f>
        <v>0</v>
      </c>
      <c r="W84" s="45">
        <f>IFERROR(VLOOKUP(V84,'Constants Sheet'!$H$11:$J$14,3,TRUE),0)</f>
        <v>0</v>
      </c>
      <c r="Y84" s="15">
        <f t="shared" si="9"/>
        <v>3404</v>
      </c>
      <c r="Z84">
        <f t="shared" si="10"/>
        <v>582</v>
      </c>
      <c r="AA84" s="16">
        <f>IF('Calculation Sheet'!$D$11,'Manager Sheet'!$E$11,NA())</f>
        <v>200</v>
      </c>
    </row>
    <row r="85" spans="15:27" x14ac:dyDescent="0.25">
      <c r="O85" s="4">
        <v>77</v>
      </c>
      <c r="P85" s="4">
        <f t="shared" si="11"/>
        <v>3404</v>
      </c>
      <c r="Q85" s="5">
        <f>'Manager Sheet'!U84</f>
        <v>489</v>
      </c>
      <c r="R85" s="5">
        <f t="shared" si="6"/>
        <v>489</v>
      </c>
      <c r="S85" s="5">
        <f t="shared" si="7"/>
        <v>0</v>
      </c>
      <c r="T85" s="5">
        <f t="shared" si="8"/>
        <v>2915</v>
      </c>
      <c r="U85" s="42">
        <f>T85*'Constants Sheet'!$E$13</f>
        <v>239.58904109589039</v>
      </c>
      <c r="V85" s="40">
        <f>IF(T85&lt;'Manager Sheet'!$E$11,'Manager Sheet'!$E$14,0)</f>
        <v>0</v>
      </c>
      <c r="W85" s="45">
        <f>IFERROR(VLOOKUP(V85,'Constants Sheet'!$H$11:$J$14,3,TRUE),0)</f>
        <v>0</v>
      </c>
      <c r="Y85" s="15">
        <f t="shared" si="9"/>
        <v>2915</v>
      </c>
      <c r="Z85">
        <f t="shared" si="10"/>
        <v>489</v>
      </c>
      <c r="AA85" s="16">
        <f>IF('Calculation Sheet'!$D$11,'Manager Sheet'!$E$11,NA())</f>
        <v>200</v>
      </c>
    </row>
    <row r="86" spans="15:27" x14ac:dyDescent="0.25">
      <c r="O86" s="4">
        <v>78</v>
      </c>
      <c r="P86" s="4">
        <f t="shared" si="11"/>
        <v>2915</v>
      </c>
      <c r="Q86" s="5">
        <f>'Manager Sheet'!U85</f>
        <v>758</v>
      </c>
      <c r="R86" s="5">
        <f t="shared" si="6"/>
        <v>758</v>
      </c>
      <c r="S86" s="5">
        <f t="shared" si="7"/>
        <v>0</v>
      </c>
      <c r="T86" s="5">
        <f t="shared" si="8"/>
        <v>2157</v>
      </c>
      <c r="U86" s="42">
        <f>T86*'Constants Sheet'!$E$13</f>
        <v>177.2876712328767</v>
      </c>
      <c r="V86" s="40">
        <f>IF(T86&lt;'Manager Sheet'!$E$11,'Manager Sheet'!$E$14,0)</f>
        <v>0</v>
      </c>
      <c r="W86" s="45">
        <f>IFERROR(VLOOKUP(V86,'Constants Sheet'!$H$11:$J$14,3,TRUE),0)</f>
        <v>0</v>
      </c>
      <c r="Y86" s="15">
        <f t="shared" si="9"/>
        <v>2157</v>
      </c>
      <c r="Z86">
        <f t="shared" si="10"/>
        <v>758</v>
      </c>
      <c r="AA86" s="16">
        <f>IF('Calculation Sheet'!$D$11,'Manager Sheet'!$E$11,NA())</f>
        <v>200</v>
      </c>
    </row>
    <row r="87" spans="15:27" x14ac:dyDescent="0.25">
      <c r="O87" s="4">
        <v>79</v>
      </c>
      <c r="P87" s="4">
        <f t="shared" si="11"/>
        <v>2157</v>
      </c>
      <c r="Q87" s="5">
        <f>'Manager Sheet'!U86</f>
        <v>477</v>
      </c>
      <c r="R87" s="5">
        <f t="shared" si="6"/>
        <v>477</v>
      </c>
      <c r="S87" s="5">
        <f t="shared" si="7"/>
        <v>0</v>
      </c>
      <c r="T87" s="5">
        <f t="shared" si="8"/>
        <v>1680</v>
      </c>
      <c r="U87" s="42">
        <f>T87*'Constants Sheet'!$E$13</f>
        <v>138.08219178082192</v>
      </c>
      <c r="V87" s="40">
        <f>IF(T87&lt;'Manager Sheet'!$E$11,'Manager Sheet'!$E$14,0)</f>
        <v>0</v>
      </c>
      <c r="W87" s="45">
        <f>IFERROR(VLOOKUP(V87,'Constants Sheet'!$H$11:$J$14,3,TRUE),0)</f>
        <v>0</v>
      </c>
      <c r="Y87" s="15">
        <f t="shared" si="9"/>
        <v>1680</v>
      </c>
      <c r="Z87">
        <f t="shared" si="10"/>
        <v>477</v>
      </c>
      <c r="AA87" s="16">
        <f>IF('Calculation Sheet'!$D$11,'Manager Sheet'!$E$11,NA())</f>
        <v>200</v>
      </c>
    </row>
    <row r="88" spans="15:27" x14ac:dyDescent="0.25">
      <c r="O88" s="4">
        <v>80</v>
      </c>
      <c r="P88" s="4">
        <f t="shared" si="11"/>
        <v>1680</v>
      </c>
      <c r="Q88" s="5">
        <f>'Manager Sheet'!U87</f>
        <v>706</v>
      </c>
      <c r="R88" s="5">
        <f t="shared" si="6"/>
        <v>706</v>
      </c>
      <c r="S88" s="5">
        <f t="shared" si="7"/>
        <v>0</v>
      </c>
      <c r="T88" s="5">
        <f t="shared" si="8"/>
        <v>974</v>
      </c>
      <c r="U88" s="42">
        <f>T88*'Constants Sheet'!$E$13</f>
        <v>80.054794520547944</v>
      </c>
      <c r="V88" s="40">
        <f>IF(T88&lt;'Manager Sheet'!$E$11,'Manager Sheet'!$E$14,0)</f>
        <v>0</v>
      </c>
      <c r="W88" s="45">
        <f>IFERROR(VLOOKUP(V88,'Constants Sheet'!$H$11:$J$14,3,TRUE),0)</f>
        <v>0</v>
      </c>
      <c r="Y88" s="15">
        <f t="shared" si="9"/>
        <v>974</v>
      </c>
      <c r="Z88">
        <f t="shared" si="10"/>
        <v>706</v>
      </c>
      <c r="AA88" s="16">
        <f>IF('Calculation Sheet'!$D$11,'Manager Sheet'!$E$11,NA())</f>
        <v>200</v>
      </c>
    </row>
    <row r="89" spans="15:27" x14ac:dyDescent="0.25">
      <c r="O89" s="4">
        <v>81</v>
      </c>
      <c r="P89" s="4">
        <f t="shared" si="11"/>
        <v>974</v>
      </c>
      <c r="Q89" s="5">
        <f>'Manager Sheet'!U88</f>
        <v>561</v>
      </c>
      <c r="R89" s="5">
        <f t="shared" si="6"/>
        <v>561</v>
      </c>
      <c r="S89" s="5">
        <f t="shared" si="7"/>
        <v>0</v>
      </c>
      <c r="T89" s="5">
        <f t="shared" si="8"/>
        <v>413</v>
      </c>
      <c r="U89" s="42">
        <f>T89*'Constants Sheet'!$E$13</f>
        <v>33.945205479452056</v>
      </c>
      <c r="V89" s="40">
        <f>IF(T89&lt;'Manager Sheet'!$E$11,'Manager Sheet'!$E$14,0)</f>
        <v>0</v>
      </c>
      <c r="W89" s="45">
        <f>IFERROR(VLOOKUP(V89,'Constants Sheet'!$H$11:$J$14,3,TRUE),0)</f>
        <v>0</v>
      </c>
      <c r="Y89" s="15">
        <f t="shared" si="9"/>
        <v>413</v>
      </c>
      <c r="Z89">
        <f t="shared" si="10"/>
        <v>561</v>
      </c>
      <c r="AA89" s="16">
        <f>IF('Calculation Sheet'!$D$11,'Manager Sheet'!$E$11,NA())</f>
        <v>200</v>
      </c>
    </row>
    <row r="90" spans="15:27" x14ac:dyDescent="0.25">
      <c r="O90" s="4">
        <v>82</v>
      </c>
      <c r="P90" s="4">
        <f t="shared" si="11"/>
        <v>413</v>
      </c>
      <c r="Q90" s="5">
        <f>'Manager Sheet'!U89</f>
        <v>658</v>
      </c>
      <c r="R90" s="5">
        <f t="shared" si="6"/>
        <v>413</v>
      </c>
      <c r="S90" s="5">
        <f t="shared" si="7"/>
        <v>245</v>
      </c>
      <c r="T90" s="5">
        <f t="shared" si="8"/>
        <v>0</v>
      </c>
      <c r="U90" s="42">
        <f>T90*'Constants Sheet'!$E$13</f>
        <v>0</v>
      </c>
      <c r="V90" s="40">
        <f>IF(T90&lt;'Manager Sheet'!$E$11,'Manager Sheet'!$E$14,0)</f>
        <v>5000</v>
      </c>
      <c r="W90" s="45">
        <f>IFERROR(VLOOKUP(V90,'Constants Sheet'!$H$11:$J$14,3,TRUE),0)</f>
        <v>175</v>
      </c>
      <c r="Y90" s="15">
        <f t="shared" si="9"/>
        <v>0</v>
      </c>
      <c r="Z90">
        <f t="shared" si="10"/>
        <v>658</v>
      </c>
      <c r="AA90" s="16">
        <f>IF('Calculation Sheet'!$D$11,'Manager Sheet'!$E$11,NA())</f>
        <v>200</v>
      </c>
    </row>
    <row r="91" spans="15:27" x14ac:dyDescent="0.25">
      <c r="O91" s="4">
        <v>83</v>
      </c>
      <c r="P91" s="4">
        <f t="shared" si="11"/>
        <v>5000</v>
      </c>
      <c r="Q91" s="5">
        <f>'Manager Sheet'!U90</f>
        <v>239</v>
      </c>
      <c r="R91" s="5">
        <f t="shared" si="6"/>
        <v>239</v>
      </c>
      <c r="S91" s="5">
        <f t="shared" si="7"/>
        <v>0</v>
      </c>
      <c r="T91" s="5">
        <f t="shared" si="8"/>
        <v>4761</v>
      </c>
      <c r="U91" s="42">
        <f>T91*'Constants Sheet'!$E$13</f>
        <v>391.31506849315065</v>
      </c>
      <c r="V91" s="40">
        <f>IF(T91&lt;'Manager Sheet'!$E$11,'Manager Sheet'!$E$14,0)</f>
        <v>0</v>
      </c>
      <c r="W91" s="45">
        <f>IFERROR(VLOOKUP(V91,'Constants Sheet'!$H$11:$J$14,3,TRUE),0)</f>
        <v>0</v>
      </c>
      <c r="Y91" s="15">
        <f t="shared" si="9"/>
        <v>4761</v>
      </c>
      <c r="Z91">
        <f t="shared" si="10"/>
        <v>239</v>
      </c>
      <c r="AA91" s="16">
        <f>IF('Calculation Sheet'!$D$11,'Manager Sheet'!$E$11,NA())</f>
        <v>200</v>
      </c>
    </row>
    <row r="92" spans="15:27" x14ac:dyDescent="0.25">
      <c r="O92" s="4">
        <v>84</v>
      </c>
      <c r="P92" s="4">
        <f t="shared" si="11"/>
        <v>4761</v>
      </c>
      <c r="Q92" s="5">
        <f>'Manager Sheet'!U91</f>
        <v>515</v>
      </c>
      <c r="R92" s="5">
        <f t="shared" si="6"/>
        <v>515</v>
      </c>
      <c r="S92" s="5">
        <f t="shared" si="7"/>
        <v>0</v>
      </c>
      <c r="T92" s="5">
        <f t="shared" si="8"/>
        <v>4246</v>
      </c>
      <c r="U92" s="42">
        <f>T92*'Constants Sheet'!$E$13</f>
        <v>348.98630136986299</v>
      </c>
      <c r="V92" s="40">
        <f>IF(T92&lt;'Manager Sheet'!$E$11,'Manager Sheet'!$E$14,0)</f>
        <v>0</v>
      </c>
      <c r="W92" s="45">
        <f>IFERROR(VLOOKUP(V92,'Constants Sheet'!$H$11:$J$14,3,TRUE),0)</f>
        <v>0</v>
      </c>
      <c r="Y92" s="15">
        <f t="shared" si="9"/>
        <v>4246</v>
      </c>
      <c r="Z92">
        <f t="shared" si="10"/>
        <v>515</v>
      </c>
      <c r="AA92" s="16">
        <f>IF('Calculation Sheet'!$D$11,'Manager Sheet'!$E$11,NA())</f>
        <v>200</v>
      </c>
    </row>
    <row r="93" spans="15:27" x14ac:dyDescent="0.25">
      <c r="O93" s="4">
        <v>85</v>
      </c>
      <c r="P93" s="4">
        <f t="shared" si="11"/>
        <v>4246</v>
      </c>
      <c r="Q93" s="5">
        <f>'Manager Sheet'!U92</f>
        <v>632</v>
      </c>
      <c r="R93" s="5">
        <f t="shared" si="6"/>
        <v>632</v>
      </c>
      <c r="S93" s="5">
        <f t="shared" si="7"/>
        <v>0</v>
      </c>
      <c r="T93" s="5">
        <f t="shared" si="8"/>
        <v>3614</v>
      </c>
      <c r="U93" s="42">
        <f>T93*'Constants Sheet'!$E$13</f>
        <v>297.04109589041093</v>
      </c>
      <c r="V93" s="40">
        <f>IF(T93&lt;'Manager Sheet'!$E$11,'Manager Sheet'!$E$14,0)</f>
        <v>0</v>
      </c>
      <c r="W93" s="45">
        <f>IFERROR(VLOOKUP(V93,'Constants Sheet'!$H$11:$J$14,3,TRUE),0)</f>
        <v>0</v>
      </c>
      <c r="Y93" s="15">
        <f t="shared" si="9"/>
        <v>3614</v>
      </c>
      <c r="Z93">
        <f t="shared" si="10"/>
        <v>632</v>
      </c>
      <c r="AA93" s="16">
        <f>IF('Calculation Sheet'!$D$11,'Manager Sheet'!$E$11,NA())</f>
        <v>200</v>
      </c>
    </row>
    <row r="94" spans="15:27" x14ac:dyDescent="0.25">
      <c r="O94" s="4">
        <v>86</v>
      </c>
      <c r="P94" s="4">
        <f t="shared" si="11"/>
        <v>3614</v>
      </c>
      <c r="Q94" s="5">
        <f>'Manager Sheet'!U93</f>
        <v>716</v>
      </c>
      <c r="R94" s="5">
        <f t="shared" si="6"/>
        <v>716</v>
      </c>
      <c r="S94" s="5">
        <f t="shared" si="7"/>
        <v>0</v>
      </c>
      <c r="T94" s="5">
        <f t="shared" si="8"/>
        <v>2898</v>
      </c>
      <c r="U94" s="42">
        <f>T94*'Constants Sheet'!$E$13</f>
        <v>238.1917808219178</v>
      </c>
      <c r="V94" s="40">
        <f>IF(T94&lt;'Manager Sheet'!$E$11,'Manager Sheet'!$E$14,0)</f>
        <v>0</v>
      </c>
      <c r="W94" s="45">
        <f>IFERROR(VLOOKUP(V94,'Constants Sheet'!$H$11:$J$14,3,TRUE),0)</f>
        <v>0</v>
      </c>
      <c r="Y94" s="15">
        <f t="shared" si="9"/>
        <v>2898</v>
      </c>
      <c r="Z94">
        <f t="shared" si="10"/>
        <v>716</v>
      </c>
      <c r="AA94" s="16">
        <f>IF('Calculation Sheet'!$D$11,'Manager Sheet'!$E$11,NA())</f>
        <v>200</v>
      </c>
    </row>
    <row r="95" spans="15:27" x14ac:dyDescent="0.25">
      <c r="O95" s="4">
        <v>87</v>
      </c>
      <c r="P95" s="4">
        <f t="shared" si="11"/>
        <v>2898</v>
      </c>
      <c r="Q95" s="5">
        <f>'Manager Sheet'!U94</f>
        <v>577</v>
      </c>
      <c r="R95" s="5">
        <f t="shared" si="6"/>
        <v>577</v>
      </c>
      <c r="S95" s="5">
        <f t="shared" si="7"/>
        <v>0</v>
      </c>
      <c r="T95" s="5">
        <f t="shared" si="8"/>
        <v>2321</v>
      </c>
      <c r="U95" s="42">
        <f>T95*'Constants Sheet'!$E$13</f>
        <v>190.76712328767121</v>
      </c>
      <c r="V95" s="40">
        <f>IF(T95&lt;'Manager Sheet'!$E$11,'Manager Sheet'!$E$14,0)</f>
        <v>0</v>
      </c>
      <c r="W95" s="45">
        <f>IFERROR(VLOOKUP(V95,'Constants Sheet'!$H$11:$J$14,3,TRUE),0)</f>
        <v>0</v>
      </c>
      <c r="Y95" s="15">
        <f t="shared" si="9"/>
        <v>2321</v>
      </c>
      <c r="Z95">
        <f t="shared" si="10"/>
        <v>577</v>
      </c>
      <c r="AA95" s="16">
        <f>IF('Calculation Sheet'!$D$11,'Manager Sheet'!$E$11,NA())</f>
        <v>200</v>
      </c>
    </row>
    <row r="96" spans="15:27" x14ac:dyDescent="0.25">
      <c r="O96" s="4">
        <v>88</v>
      </c>
      <c r="P96" s="4">
        <f t="shared" si="11"/>
        <v>2321</v>
      </c>
      <c r="Q96" s="5">
        <f>'Manager Sheet'!U95</f>
        <v>483</v>
      </c>
      <c r="R96" s="5">
        <f t="shared" si="6"/>
        <v>483</v>
      </c>
      <c r="S96" s="5">
        <f t="shared" si="7"/>
        <v>0</v>
      </c>
      <c r="T96" s="5">
        <f t="shared" si="8"/>
        <v>1838</v>
      </c>
      <c r="U96" s="42">
        <f>T96*'Constants Sheet'!$E$13</f>
        <v>151.06849315068493</v>
      </c>
      <c r="V96" s="40">
        <f>IF(T96&lt;'Manager Sheet'!$E$11,'Manager Sheet'!$E$14,0)</f>
        <v>0</v>
      </c>
      <c r="W96" s="45">
        <f>IFERROR(VLOOKUP(V96,'Constants Sheet'!$H$11:$J$14,3,TRUE),0)</f>
        <v>0</v>
      </c>
      <c r="Y96" s="15">
        <f t="shared" si="9"/>
        <v>1838</v>
      </c>
      <c r="Z96">
        <f t="shared" si="10"/>
        <v>483</v>
      </c>
      <c r="AA96" s="16">
        <f>IF('Calculation Sheet'!$D$11,'Manager Sheet'!$E$11,NA())</f>
        <v>200</v>
      </c>
    </row>
    <row r="97" spans="15:27" x14ac:dyDescent="0.25">
      <c r="O97" s="4">
        <v>89</v>
      </c>
      <c r="P97" s="4">
        <f t="shared" si="11"/>
        <v>1838</v>
      </c>
      <c r="Q97" s="5">
        <f>'Manager Sheet'!U96</f>
        <v>452</v>
      </c>
      <c r="R97" s="5">
        <f t="shared" si="6"/>
        <v>452</v>
      </c>
      <c r="S97" s="5">
        <f t="shared" si="7"/>
        <v>0</v>
      </c>
      <c r="T97" s="5">
        <f t="shared" si="8"/>
        <v>1386</v>
      </c>
      <c r="U97" s="42">
        <f>T97*'Constants Sheet'!$E$13</f>
        <v>113.91780821917807</v>
      </c>
      <c r="V97" s="40">
        <f>IF(T97&lt;'Manager Sheet'!$E$11,'Manager Sheet'!$E$14,0)</f>
        <v>0</v>
      </c>
      <c r="W97" s="45">
        <f>IFERROR(VLOOKUP(V97,'Constants Sheet'!$H$11:$J$14,3,TRUE),0)</f>
        <v>0</v>
      </c>
      <c r="Y97" s="15">
        <f t="shared" si="9"/>
        <v>1386</v>
      </c>
      <c r="Z97">
        <f t="shared" si="10"/>
        <v>452</v>
      </c>
      <c r="AA97" s="16">
        <f>IF('Calculation Sheet'!$D$11,'Manager Sheet'!$E$11,NA())</f>
        <v>200</v>
      </c>
    </row>
    <row r="98" spans="15:27" x14ac:dyDescent="0.25">
      <c r="O98" s="4">
        <v>90</v>
      </c>
      <c r="P98" s="4">
        <f t="shared" si="11"/>
        <v>1386</v>
      </c>
      <c r="Q98" s="5">
        <f>'Manager Sheet'!U97</f>
        <v>508</v>
      </c>
      <c r="R98" s="5">
        <f t="shared" si="6"/>
        <v>508</v>
      </c>
      <c r="S98" s="5">
        <f t="shared" si="7"/>
        <v>0</v>
      </c>
      <c r="T98" s="5">
        <f t="shared" si="8"/>
        <v>878</v>
      </c>
      <c r="U98" s="42">
        <f>T98*'Constants Sheet'!$E$13</f>
        <v>72.164383561643831</v>
      </c>
      <c r="V98" s="40">
        <f>IF(T98&lt;'Manager Sheet'!$E$11,'Manager Sheet'!$E$14,0)</f>
        <v>0</v>
      </c>
      <c r="W98" s="45">
        <f>IFERROR(VLOOKUP(V98,'Constants Sheet'!$H$11:$J$14,3,TRUE),0)</f>
        <v>0</v>
      </c>
      <c r="Y98" s="15">
        <f t="shared" si="9"/>
        <v>878</v>
      </c>
      <c r="Z98">
        <f t="shared" si="10"/>
        <v>508</v>
      </c>
      <c r="AA98" s="16">
        <f>IF('Calculation Sheet'!$D$11,'Manager Sheet'!$E$11,NA())</f>
        <v>200</v>
      </c>
    </row>
    <row r="99" spans="15:27" x14ac:dyDescent="0.25">
      <c r="O99" s="4">
        <v>91</v>
      </c>
      <c r="P99" s="4">
        <f t="shared" si="11"/>
        <v>878</v>
      </c>
      <c r="Q99" s="5">
        <f>'Manager Sheet'!U98</f>
        <v>631</v>
      </c>
      <c r="R99" s="5">
        <f t="shared" si="6"/>
        <v>631</v>
      </c>
      <c r="S99" s="5">
        <f t="shared" si="7"/>
        <v>0</v>
      </c>
      <c r="T99" s="5">
        <f t="shared" si="8"/>
        <v>247</v>
      </c>
      <c r="U99" s="42">
        <f>T99*'Constants Sheet'!$E$13</f>
        <v>20.301369863013697</v>
      </c>
      <c r="V99" s="40">
        <f>IF(T99&lt;'Manager Sheet'!$E$11,'Manager Sheet'!$E$14,0)</f>
        <v>0</v>
      </c>
      <c r="W99" s="45">
        <f>IFERROR(VLOOKUP(V99,'Constants Sheet'!$H$11:$J$14,3,TRUE),0)</f>
        <v>0</v>
      </c>
      <c r="Y99" s="15">
        <f t="shared" si="9"/>
        <v>247</v>
      </c>
      <c r="Z99">
        <f t="shared" si="10"/>
        <v>631</v>
      </c>
      <c r="AA99" s="16">
        <f>IF('Calculation Sheet'!$D$11,'Manager Sheet'!$E$11,NA())</f>
        <v>200</v>
      </c>
    </row>
    <row r="100" spans="15:27" x14ac:dyDescent="0.25">
      <c r="O100" s="4">
        <v>92</v>
      </c>
      <c r="P100" s="4">
        <f t="shared" si="11"/>
        <v>247</v>
      </c>
      <c r="Q100" s="5">
        <f>'Manager Sheet'!U99</f>
        <v>326</v>
      </c>
      <c r="R100" s="5">
        <f t="shared" si="6"/>
        <v>247</v>
      </c>
      <c r="S100" s="5">
        <f t="shared" si="7"/>
        <v>79</v>
      </c>
      <c r="T100" s="5">
        <f t="shared" si="8"/>
        <v>0</v>
      </c>
      <c r="U100" s="42">
        <f>T100*'Constants Sheet'!$E$13</f>
        <v>0</v>
      </c>
      <c r="V100" s="40">
        <f>IF(T100&lt;'Manager Sheet'!$E$11,'Manager Sheet'!$E$14,0)</f>
        <v>5000</v>
      </c>
      <c r="W100" s="45">
        <f>IFERROR(VLOOKUP(V100,'Constants Sheet'!$H$11:$J$14,3,TRUE),0)</f>
        <v>175</v>
      </c>
      <c r="Y100" s="15">
        <f t="shared" si="9"/>
        <v>0</v>
      </c>
      <c r="Z100">
        <f t="shared" si="10"/>
        <v>326</v>
      </c>
      <c r="AA100" s="16">
        <f>IF('Calculation Sheet'!$D$11,'Manager Sheet'!$E$11,NA())</f>
        <v>200</v>
      </c>
    </row>
    <row r="101" spans="15:27" x14ac:dyDescent="0.25">
      <c r="O101" s="4">
        <v>93</v>
      </c>
      <c r="P101" s="4">
        <f t="shared" si="11"/>
        <v>5000</v>
      </c>
      <c r="Q101" s="5">
        <f>'Manager Sheet'!U100</f>
        <v>533</v>
      </c>
      <c r="R101" s="5">
        <f t="shared" si="6"/>
        <v>533</v>
      </c>
      <c r="S101" s="5">
        <f t="shared" si="7"/>
        <v>0</v>
      </c>
      <c r="T101" s="5">
        <f t="shared" si="8"/>
        <v>4467</v>
      </c>
      <c r="U101" s="42">
        <f>T101*'Constants Sheet'!$E$13</f>
        <v>367.15068493150682</v>
      </c>
      <c r="V101" s="40">
        <f>IF(T101&lt;'Manager Sheet'!$E$11,'Manager Sheet'!$E$14,0)</f>
        <v>0</v>
      </c>
      <c r="W101" s="45">
        <f>IFERROR(VLOOKUP(V101,'Constants Sheet'!$H$11:$J$14,3,TRUE),0)</f>
        <v>0</v>
      </c>
      <c r="Y101" s="15">
        <f t="shared" si="9"/>
        <v>4467</v>
      </c>
      <c r="Z101">
        <f t="shared" si="10"/>
        <v>533</v>
      </c>
      <c r="AA101" s="16">
        <f>IF('Calculation Sheet'!$D$11,'Manager Sheet'!$E$11,NA())</f>
        <v>200</v>
      </c>
    </row>
    <row r="102" spans="15:27" x14ac:dyDescent="0.25">
      <c r="O102" s="4">
        <v>94</v>
      </c>
      <c r="P102" s="4">
        <f t="shared" si="11"/>
        <v>4467</v>
      </c>
      <c r="Q102" s="5">
        <f>'Manager Sheet'!U101</f>
        <v>345</v>
      </c>
      <c r="R102" s="5">
        <f t="shared" si="6"/>
        <v>345</v>
      </c>
      <c r="S102" s="5">
        <f t="shared" si="7"/>
        <v>0</v>
      </c>
      <c r="T102" s="5">
        <f t="shared" si="8"/>
        <v>4122</v>
      </c>
      <c r="U102" s="42">
        <f>T102*'Constants Sheet'!$E$13</f>
        <v>338.79452054794518</v>
      </c>
      <c r="V102" s="40">
        <f>IF(T102&lt;'Manager Sheet'!$E$11,'Manager Sheet'!$E$14,0)</f>
        <v>0</v>
      </c>
      <c r="W102" s="45">
        <f>IFERROR(VLOOKUP(V102,'Constants Sheet'!$H$11:$J$14,3,TRUE),0)</f>
        <v>0</v>
      </c>
      <c r="Y102" s="15">
        <f t="shared" si="9"/>
        <v>4122</v>
      </c>
      <c r="Z102">
        <f t="shared" si="10"/>
        <v>345</v>
      </c>
      <c r="AA102" s="16">
        <f>IF('Calculation Sheet'!$D$11,'Manager Sheet'!$E$11,NA())</f>
        <v>200</v>
      </c>
    </row>
    <row r="103" spans="15:27" x14ac:dyDescent="0.25">
      <c r="O103" s="4">
        <v>95</v>
      </c>
      <c r="P103" s="4">
        <f t="shared" si="11"/>
        <v>4122</v>
      </c>
      <c r="Q103" s="5">
        <f>'Manager Sheet'!U102</f>
        <v>892</v>
      </c>
      <c r="R103" s="5">
        <f t="shared" si="6"/>
        <v>892</v>
      </c>
      <c r="S103" s="5">
        <f t="shared" si="7"/>
        <v>0</v>
      </c>
      <c r="T103" s="5">
        <f t="shared" si="8"/>
        <v>3230</v>
      </c>
      <c r="U103" s="42">
        <f>T103*'Constants Sheet'!$E$13</f>
        <v>265.47945205479448</v>
      </c>
      <c r="V103" s="40">
        <f>IF(T103&lt;'Manager Sheet'!$E$11,'Manager Sheet'!$E$14,0)</f>
        <v>0</v>
      </c>
      <c r="W103" s="45">
        <f>IFERROR(VLOOKUP(V103,'Constants Sheet'!$H$11:$J$14,3,TRUE),0)</f>
        <v>0</v>
      </c>
      <c r="Y103" s="15">
        <f t="shared" si="9"/>
        <v>3230</v>
      </c>
      <c r="Z103">
        <f t="shared" si="10"/>
        <v>892</v>
      </c>
      <c r="AA103" s="16">
        <f>IF('Calculation Sheet'!$D$11,'Manager Sheet'!$E$11,NA())</f>
        <v>200</v>
      </c>
    </row>
    <row r="104" spans="15:27" x14ac:dyDescent="0.25">
      <c r="O104" s="4">
        <v>96</v>
      </c>
      <c r="P104" s="4">
        <f t="shared" si="11"/>
        <v>3230</v>
      </c>
      <c r="Q104" s="5">
        <f>'Manager Sheet'!U103</f>
        <v>590</v>
      </c>
      <c r="R104" s="5">
        <f t="shared" si="6"/>
        <v>590</v>
      </c>
      <c r="S104" s="5">
        <f t="shared" si="7"/>
        <v>0</v>
      </c>
      <c r="T104" s="5">
        <f t="shared" si="8"/>
        <v>2640</v>
      </c>
      <c r="U104" s="42">
        <f>T104*'Constants Sheet'!$E$13</f>
        <v>216.98630136986301</v>
      </c>
      <c r="V104" s="40">
        <f>IF(T104&lt;'Manager Sheet'!$E$11,'Manager Sheet'!$E$14,0)</f>
        <v>0</v>
      </c>
      <c r="W104" s="45">
        <f>IFERROR(VLOOKUP(V104,'Constants Sheet'!$H$11:$J$14,3,TRUE),0)</f>
        <v>0</v>
      </c>
      <c r="Y104" s="15">
        <f t="shared" si="9"/>
        <v>2640</v>
      </c>
      <c r="Z104">
        <f t="shared" si="10"/>
        <v>590</v>
      </c>
      <c r="AA104" s="16">
        <f>IF('Calculation Sheet'!$D$11,'Manager Sheet'!$E$11,NA())</f>
        <v>200</v>
      </c>
    </row>
    <row r="105" spans="15:27" x14ac:dyDescent="0.25">
      <c r="O105" s="4">
        <v>97</v>
      </c>
      <c r="P105" s="4">
        <f t="shared" si="11"/>
        <v>2640</v>
      </c>
      <c r="Q105" s="5">
        <f>'Manager Sheet'!U104</f>
        <v>571</v>
      </c>
      <c r="R105" s="5">
        <f t="shared" si="6"/>
        <v>571</v>
      </c>
      <c r="S105" s="5">
        <f t="shared" si="7"/>
        <v>0</v>
      </c>
      <c r="T105" s="5">
        <f t="shared" si="8"/>
        <v>2069</v>
      </c>
      <c r="U105" s="42">
        <f>T105*'Constants Sheet'!$E$13</f>
        <v>170.05479452054794</v>
      </c>
      <c r="V105" s="40">
        <f>IF(T105&lt;'Manager Sheet'!$E$11,'Manager Sheet'!$E$14,0)</f>
        <v>0</v>
      </c>
      <c r="W105" s="45">
        <f>IFERROR(VLOOKUP(V105,'Constants Sheet'!$H$11:$J$14,3,TRUE),0)</f>
        <v>0</v>
      </c>
      <c r="Y105" s="15">
        <f t="shared" si="9"/>
        <v>2069</v>
      </c>
      <c r="Z105">
        <f t="shared" si="10"/>
        <v>571</v>
      </c>
      <c r="AA105" s="16">
        <f>IF('Calculation Sheet'!$D$11,'Manager Sheet'!$E$11,NA())</f>
        <v>200</v>
      </c>
    </row>
    <row r="106" spans="15:27" x14ac:dyDescent="0.25">
      <c r="O106" s="4">
        <v>98</v>
      </c>
      <c r="P106" s="4">
        <f t="shared" si="11"/>
        <v>2069</v>
      </c>
      <c r="Q106" s="5">
        <f>'Manager Sheet'!U105</f>
        <v>392</v>
      </c>
      <c r="R106" s="5">
        <f t="shared" si="6"/>
        <v>392</v>
      </c>
      <c r="S106" s="5">
        <f t="shared" si="7"/>
        <v>0</v>
      </c>
      <c r="T106" s="5">
        <f t="shared" si="8"/>
        <v>1677</v>
      </c>
      <c r="U106" s="42">
        <f>T106*'Constants Sheet'!$E$13</f>
        <v>137.83561643835617</v>
      </c>
      <c r="V106" s="40">
        <f>IF(T106&lt;'Manager Sheet'!$E$11,'Manager Sheet'!$E$14,0)</f>
        <v>0</v>
      </c>
      <c r="W106" s="45">
        <f>IFERROR(VLOOKUP(V106,'Constants Sheet'!$H$11:$J$14,3,TRUE),0)</f>
        <v>0</v>
      </c>
      <c r="Y106" s="15">
        <f t="shared" si="9"/>
        <v>1677</v>
      </c>
      <c r="Z106">
        <f t="shared" si="10"/>
        <v>392</v>
      </c>
      <c r="AA106" s="16">
        <f>IF('Calculation Sheet'!$D$11,'Manager Sheet'!$E$11,NA())</f>
        <v>200</v>
      </c>
    </row>
    <row r="107" spans="15:27" x14ac:dyDescent="0.25">
      <c r="O107" s="4">
        <v>99</v>
      </c>
      <c r="P107" s="4">
        <f t="shared" si="11"/>
        <v>1677</v>
      </c>
      <c r="Q107" s="5">
        <f>'Manager Sheet'!U106</f>
        <v>393</v>
      </c>
      <c r="R107" s="5">
        <f t="shared" si="6"/>
        <v>393</v>
      </c>
      <c r="S107" s="5">
        <f t="shared" si="7"/>
        <v>0</v>
      </c>
      <c r="T107" s="5">
        <f t="shared" si="8"/>
        <v>1284</v>
      </c>
      <c r="U107" s="42">
        <f>T107*'Constants Sheet'!$E$13</f>
        <v>105.53424657534246</v>
      </c>
      <c r="V107" s="40">
        <f>IF(T107&lt;'Manager Sheet'!$E$11,'Manager Sheet'!$E$14,0)</f>
        <v>0</v>
      </c>
      <c r="W107" s="45">
        <f>IFERROR(VLOOKUP(V107,'Constants Sheet'!$H$11:$J$14,3,TRUE),0)</f>
        <v>0</v>
      </c>
      <c r="Y107" s="15">
        <f t="shared" si="9"/>
        <v>1284</v>
      </c>
      <c r="Z107">
        <f t="shared" si="10"/>
        <v>393</v>
      </c>
      <c r="AA107" s="16">
        <f>IF('Calculation Sheet'!$D$11,'Manager Sheet'!$E$11,NA())</f>
        <v>200</v>
      </c>
    </row>
    <row r="108" spans="15:27" x14ac:dyDescent="0.25">
      <c r="O108" s="4">
        <v>100</v>
      </c>
      <c r="P108" s="4">
        <f t="shared" si="11"/>
        <v>1284</v>
      </c>
      <c r="Q108" s="5">
        <f>'Manager Sheet'!U107</f>
        <v>442</v>
      </c>
      <c r="R108" s="5">
        <f t="shared" si="6"/>
        <v>442</v>
      </c>
      <c r="S108" s="5">
        <f t="shared" si="7"/>
        <v>0</v>
      </c>
      <c r="T108" s="5">
        <f t="shared" si="8"/>
        <v>842</v>
      </c>
      <c r="U108" s="42">
        <f>T108*'Constants Sheet'!$E$13</f>
        <v>69.205479452054789</v>
      </c>
      <c r="V108" s="40">
        <f>IF(T108&lt;'Manager Sheet'!$E$11,'Manager Sheet'!$E$14,0)</f>
        <v>0</v>
      </c>
      <c r="W108" s="45">
        <f>IFERROR(VLOOKUP(V108,'Constants Sheet'!$H$11:$J$14,3,TRUE),0)</f>
        <v>0</v>
      </c>
      <c r="Y108" s="15">
        <f t="shared" si="9"/>
        <v>842</v>
      </c>
      <c r="Z108">
        <f t="shared" si="10"/>
        <v>442</v>
      </c>
      <c r="AA108" s="16">
        <f>IF('Calculation Sheet'!$D$11,'Manager Sheet'!$E$11,NA())</f>
        <v>200</v>
      </c>
    </row>
    <row r="109" spans="15:27" x14ac:dyDescent="0.25">
      <c r="O109" s="4">
        <v>101</v>
      </c>
      <c r="P109" s="4">
        <f t="shared" si="11"/>
        <v>842</v>
      </c>
      <c r="Q109" s="5">
        <f>'Manager Sheet'!U108</f>
        <v>371</v>
      </c>
      <c r="R109" s="5">
        <f t="shared" si="6"/>
        <v>371</v>
      </c>
      <c r="S109" s="5">
        <f t="shared" si="7"/>
        <v>0</v>
      </c>
      <c r="T109" s="5">
        <f t="shared" si="8"/>
        <v>471</v>
      </c>
      <c r="U109" s="42">
        <f>T109*'Constants Sheet'!$E$13</f>
        <v>38.712328767123289</v>
      </c>
      <c r="V109" s="40">
        <f>IF(T109&lt;'Manager Sheet'!$E$11,'Manager Sheet'!$E$14,0)</f>
        <v>0</v>
      </c>
      <c r="W109" s="45">
        <f>IFERROR(VLOOKUP(V109,'Constants Sheet'!$H$11:$J$14,3,TRUE),0)</f>
        <v>0</v>
      </c>
      <c r="Y109" s="15">
        <f t="shared" si="9"/>
        <v>471</v>
      </c>
      <c r="Z109">
        <f t="shared" si="10"/>
        <v>371</v>
      </c>
      <c r="AA109" s="16">
        <f>IF('Calculation Sheet'!$D$11,'Manager Sheet'!$E$11,NA())</f>
        <v>200</v>
      </c>
    </row>
    <row r="110" spans="15:27" x14ac:dyDescent="0.25">
      <c r="O110" s="4">
        <v>102</v>
      </c>
      <c r="P110" s="4">
        <f t="shared" si="11"/>
        <v>471</v>
      </c>
      <c r="Q110" s="5">
        <f>'Manager Sheet'!U109</f>
        <v>368</v>
      </c>
      <c r="R110" s="5">
        <f t="shared" si="6"/>
        <v>368</v>
      </c>
      <c r="S110" s="5">
        <f t="shared" si="7"/>
        <v>0</v>
      </c>
      <c r="T110" s="5">
        <f t="shared" si="8"/>
        <v>103</v>
      </c>
      <c r="U110" s="42">
        <f>T110*'Constants Sheet'!$E$13</f>
        <v>8.4657534246575334</v>
      </c>
      <c r="V110" s="40">
        <f>IF(T110&lt;'Manager Sheet'!$E$11,'Manager Sheet'!$E$14,0)</f>
        <v>5000</v>
      </c>
      <c r="W110" s="45">
        <f>IFERROR(VLOOKUP(V110,'Constants Sheet'!$H$11:$J$14,3,TRUE),0)</f>
        <v>175</v>
      </c>
      <c r="Y110" s="15">
        <f t="shared" si="9"/>
        <v>103</v>
      </c>
      <c r="Z110">
        <f t="shared" si="10"/>
        <v>368</v>
      </c>
      <c r="AA110" s="16">
        <f>IF('Calculation Sheet'!$D$11,'Manager Sheet'!$E$11,NA())</f>
        <v>200</v>
      </c>
    </row>
    <row r="111" spans="15:27" x14ac:dyDescent="0.25">
      <c r="O111" s="4">
        <v>103</v>
      </c>
      <c r="P111" s="4">
        <f t="shared" si="11"/>
        <v>5103</v>
      </c>
      <c r="Q111" s="5">
        <f>'Manager Sheet'!U110</f>
        <v>829</v>
      </c>
      <c r="R111" s="5">
        <f t="shared" si="6"/>
        <v>829</v>
      </c>
      <c r="S111" s="5">
        <f t="shared" si="7"/>
        <v>0</v>
      </c>
      <c r="T111" s="5">
        <f t="shared" si="8"/>
        <v>4274</v>
      </c>
      <c r="U111" s="42">
        <f>T111*'Constants Sheet'!$E$13</f>
        <v>351.28767123287668</v>
      </c>
      <c r="V111" s="40">
        <f>IF(T111&lt;'Manager Sheet'!$E$11,'Manager Sheet'!$E$14,0)</f>
        <v>0</v>
      </c>
      <c r="W111" s="45">
        <f>IFERROR(VLOOKUP(V111,'Constants Sheet'!$H$11:$J$14,3,TRUE),0)</f>
        <v>0</v>
      </c>
      <c r="Y111" s="15">
        <f t="shared" si="9"/>
        <v>4274</v>
      </c>
      <c r="Z111">
        <f t="shared" si="10"/>
        <v>829</v>
      </c>
      <c r="AA111" s="16">
        <f>IF('Calculation Sheet'!$D$11,'Manager Sheet'!$E$11,NA())</f>
        <v>200</v>
      </c>
    </row>
    <row r="112" spans="15:27" x14ac:dyDescent="0.25">
      <c r="O112" s="4">
        <v>104</v>
      </c>
      <c r="P112" s="4">
        <f t="shared" si="11"/>
        <v>4274</v>
      </c>
      <c r="Q112" s="5">
        <f>'Manager Sheet'!U111</f>
        <v>555</v>
      </c>
      <c r="R112" s="5">
        <f t="shared" si="6"/>
        <v>555</v>
      </c>
      <c r="S112" s="5">
        <f t="shared" si="7"/>
        <v>0</v>
      </c>
      <c r="T112" s="5">
        <f t="shared" si="8"/>
        <v>3719</v>
      </c>
      <c r="U112" s="42">
        <f>T112*'Constants Sheet'!$E$13</f>
        <v>305.67123287671234</v>
      </c>
      <c r="V112" s="40">
        <f>IF(T112&lt;'Manager Sheet'!$E$11,'Manager Sheet'!$E$14,0)</f>
        <v>0</v>
      </c>
      <c r="W112" s="45">
        <f>IFERROR(VLOOKUP(V112,'Constants Sheet'!$H$11:$J$14,3,TRUE),0)</f>
        <v>0</v>
      </c>
      <c r="Y112" s="15">
        <f t="shared" si="9"/>
        <v>3719</v>
      </c>
      <c r="Z112">
        <f t="shared" si="10"/>
        <v>555</v>
      </c>
      <c r="AA112" s="16">
        <f>IF('Calculation Sheet'!$D$11,'Manager Sheet'!$E$11,NA())</f>
        <v>200</v>
      </c>
    </row>
    <row r="113" spans="15:27" x14ac:dyDescent="0.25">
      <c r="O113" s="4">
        <v>105</v>
      </c>
      <c r="P113" s="4">
        <f t="shared" si="11"/>
        <v>3719</v>
      </c>
      <c r="Q113" s="5">
        <f>'Manager Sheet'!U112</f>
        <v>553</v>
      </c>
      <c r="R113" s="5">
        <f t="shared" si="6"/>
        <v>553</v>
      </c>
      <c r="S113" s="5">
        <f t="shared" si="7"/>
        <v>0</v>
      </c>
      <c r="T113" s="5">
        <f t="shared" si="8"/>
        <v>3166</v>
      </c>
      <c r="U113" s="42">
        <f>T113*'Constants Sheet'!$E$13</f>
        <v>260.21917808219177</v>
      </c>
      <c r="V113" s="40">
        <f>IF(T113&lt;'Manager Sheet'!$E$11,'Manager Sheet'!$E$14,0)</f>
        <v>0</v>
      </c>
      <c r="W113" s="45">
        <f>IFERROR(VLOOKUP(V113,'Constants Sheet'!$H$11:$J$14,3,TRUE),0)</f>
        <v>0</v>
      </c>
      <c r="Y113" s="15">
        <f t="shared" si="9"/>
        <v>3166</v>
      </c>
      <c r="Z113">
        <f t="shared" si="10"/>
        <v>553</v>
      </c>
      <c r="AA113" s="16">
        <f>IF('Calculation Sheet'!$D$11,'Manager Sheet'!$E$11,NA())</f>
        <v>200</v>
      </c>
    </row>
    <row r="114" spans="15:27" x14ac:dyDescent="0.25">
      <c r="O114" s="4">
        <v>106</v>
      </c>
      <c r="P114" s="4">
        <f t="shared" si="11"/>
        <v>3166</v>
      </c>
      <c r="Q114" s="5">
        <f>'Manager Sheet'!U113</f>
        <v>567</v>
      </c>
      <c r="R114" s="5">
        <f t="shared" si="6"/>
        <v>567</v>
      </c>
      <c r="S114" s="5">
        <f t="shared" si="7"/>
        <v>0</v>
      </c>
      <c r="T114" s="5">
        <f t="shared" si="8"/>
        <v>2599</v>
      </c>
      <c r="U114" s="42">
        <f>T114*'Constants Sheet'!$E$13</f>
        <v>213.61643835616437</v>
      </c>
      <c r="V114" s="40">
        <f>IF(T114&lt;'Manager Sheet'!$E$11,'Manager Sheet'!$E$14,0)</f>
        <v>0</v>
      </c>
      <c r="W114" s="45">
        <f>IFERROR(VLOOKUP(V114,'Constants Sheet'!$H$11:$J$14,3,TRUE),0)</f>
        <v>0</v>
      </c>
      <c r="Y114" s="15">
        <f t="shared" si="9"/>
        <v>2599</v>
      </c>
      <c r="Z114">
        <f t="shared" si="10"/>
        <v>567</v>
      </c>
      <c r="AA114" s="16">
        <f>IF('Calculation Sheet'!$D$11,'Manager Sheet'!$E$11,NA())</f>
        <v>200</v>
      </c>
    </row>
    <row r="115" spans="15:27" x14ac:dyDescent="0.25">
      <c r="O115" s="4">
        <v>107</v>
      </c>
      <c r="P115" s="4">
        <f t="shared" si="11"/>
        <v>2599</v>
      </c>
      <c r="Q115" s="5">
        <f>'Manager Sheet'!U114</f>
        <v>748</v>
      </c>
      <c r="R115" s="5">
        <f t="shared" si="6"/>
        <v>748</v>
      </c>
      <c r="S115" s="5">
        <f t="shared" si="7"/>
        <v>0</v>
      </c>
      <c r="T115" s="5">
        <f t="shared" si="8"/>
        <v>1851</v>
      </c>
      <c r="U115" s="42">
        <f>T115*'Constants Sheet'!$E$13</f>
        <v>152.13698630136986</v>
      </c>
      <c r="V115" s="40">
        <f>IF(T115&lt;'Manager Sheet'!$E$11,'Manager Sheet'!$E$14,0)</f>
        <v>0</v>
      </c>
      <c r="W115" s="45">
        <f>IFERROR(VLOOKUP(V115,'Constants Sheet'!$H$11:$J$14,3,TRUE),0)</f>
        <v>0</v>
      </c>
      <c r="Y115" s="15">
        <f t="shared" si="9"/>
        <v>1851</v>
      </c>
      <c r="Z115">
        <f t="shared" si="10"/>
        <v>748</v>
      </c>
      <c r="AA115" s="16">
        <f>IF('Calculation Sheet'!$D$11,'Manager Sheet'!$E$11,NA())</f>
        <v>200</v>
      </c>
    </row>
    <row r="116" spans="15:27" x14ac:dyDescent="0.25">
      <c r="O116" s="4">
        <v>108</v>
      </c>
      <c r="P116" s="4">
        <f t="shared" si="11"/>
        <v>1851</v>
      </c>
      <c r="Q116" s="5">
        <f>'Manager Sheet'!U115</f>
        <v>509</v>
      </c>
      <c r="R116" s="5">
        <f t="shared" si="6"/>
        <v>509</v>
      </c>
      <c r="S116" s="5">
        <f t="shared" si="7"/>
        <v>0</v>
      </c>
      <c r="T116" s="5">
        <f t="shared" si="8"/>
        <v>1342</v>
      </c>
      <c r="U116" s="42">
        <f>T116*'Constants Sheet'!$E$13</f>
        <v>110.30136986301369</v>
      </c>
      <c r="V116" s="40">
        <f>IF(T116&lt;'Manager Sheet'!$E$11,'Manager Sheet'!$E$14,0)</f>
        <v>0</v>
      </c>
      <c r="W116" s="45">
        <f>IFERROR(VLOOKUP(V116,'Constants Sheet'!$H$11:$J$14,3,TRUE),0)</f>
        <v>0</v>
      </c>
      <c r="Y116" s="15">
        <f t="shared" si="9"/>
        <v>1342</v>
      </c>
      <c r="Z116">
        <f t="shared" si="10"/>
        <v>509</v>
      </c>
      <c r="AA116" s="16">
        <f>IF('Calculation Sheet'!$D$11,'Manager Sheet'!$E$11,NA())</f>
        <v>200</v>
      </c>
    </row>
    <row r="117" spans="15:27" x14ac:dyDescent="0.25">
      <c r="O117" s="4">
        <v>109</v>
      </c>
      <c r="P117" s="4">
        <f t="shared" si="11"/>
        <v>1342</v>
      </c>
      <c r="Q117" s="5">
        <f>'Manager Sheet'!U116</f>
        <v>364</v>
      </c>
      <c r="R117" s="5">
        <f t="shared" si="6"/>
        <v>364</v>
      </c>
      <c r="S117" s="5">
        <f t="shared" si="7"/>
        <v>0</v>
      </c>
      <c r="T117" s="5">
        <f t="shared" si="8"/>
        <v>978</v>
      </c>
      <c r="U117" s="42">
        <f>T117*'Constants Sheet'!$E$13</f>
        <v>80.383561643835606</v>
      </c>
      <c r="V117" s="40">
        <f>IF(T117&lt;'Manager Sheet'!$E$11,'Manager Sheet'!$E$14,0)</f>
        <v>0</v>
      </c>
      <c r="W117" s="45">
        <f>IFERROR(VLOOKUP(V117,'Constants Sheet'!$H$11:$J$14,3,TRUE),0)</f>
        <v>0</v>
      </c>
      <c r="Y117" s="15">
        <f t="shared" si="9"/>
        <v>978</v>
      </c>
      <c r="Z117">
        <f t="shared" si="10"/>
        <v>364</v>
      </c>
      <c r="AA117" s="16">
        <f>IF('Calculation Sheet'!$D$11,'Manager Sheet'!$E$11,NA())</f>
        <v>200</v>
      </c>
    </row>
    <row r="118" spans="15:27" x14ac:dyDescent="0.25">
      <c r="O118" s="4">
        <v>110</v>
      </c>
      <c r="P118" s="4">
        <f t="shared" si="11"/>
        <v>978</v>
      </c>
      <c r="Q118" s="5">
        <f>'Manager Sheet'!U117</f>
        <v>407</v>
      </c>
      <c r="R118" s="5">
        <f t="shared" si="6"/>
        <v>407</v>
      </c>
      <c r="S118" s="5">
        <f t="shared" si="7"/>
        <v>0</v>
      </c>
      <c r="T118" s="5">
        <f t="shared" si="8"/>
        <v>571</v>
      </c>
      <c r="U118" s="42">
        <f>T118*'Constants Sheet'!$E$13</f>
        <v>46.931506849315063</v>
      </c>
      <c r="V118" s="40">
        <f>IF(T118&lt;'Manager Sheet'!$E$11,'Manager Sheet'!$E$14,0)</f>
        <v>0</v>
      </c>
      <c r="W118" s="45">
        <f>IFERROR(VLOOKUP(V118,'Constants Sheet'!$H$11:$J$14,3,TRUE),0)</f>
        <v>0</v>
      </c>
      <c r="Y118" s="15">
        <f t="shared" si="9"/>
        <v>571</v>
      </c>
      <c r="Z118">
        <f t="shared" si="10"/>
        <v>407</v>
      </c>
      <c r="AA118" s="16">
        <f>IF('Calculation Sheet'!$D$11,'Manager Sheet'!$E$11,NA())</f>
        <v>200</v>
      </c>
    </row>
    <row r="119" spans="15:27" x14ac:dyDescent="0.25">
      <c r="O119" s="4">
        <v>111</v>
      </c>
      <c r="P119" s="4">
        <f t="shared" si="11"/>
        <v>571</v>
      </c>
      <c r="Q119" s="5">
        <f>'Manager Sheet'!U118</f>
        <v>391</v>
      </c>
      <c r="R119" s="5">
        <f t="shared" si="6"/>
        <v>391</v>
      </c>
      <c r="S119" s="5">
        <f t="shared" si="7"/>
        <v>0</v>
      </c>
      <c r="T119" s="5">
        <f t="shared" si="8"/>
        <v>180</v>
      </c>
      <c r="U119" s="42">
        <f>T119*'Constants Sheet'!$E$13</f>
        <v>14.794520547945204</v>
      </c>
      <c r="V119" s="40">
        <f>IF(T119&lt;'Manager Sheet'!$E$11,'Manager Sheet'!$E$14,0)</f>
        <v>5000</v>
      </c>
      <c r="W119" s="45">
        <f>IFERROR(VLOOKUP(V119,'Constants Sheet'!$H$11:$J$14,3,TRUE),0)</f>
        <v>175</v>
      </c>
      <c r="Y119" s="15">
        <f t="shared" si="9"/>
        <v>180</v>
      </c>
      <c r="Z119">
        <f t="shared" si="10"/>
        <v>391</v>
      </c>
      <c r="AA119" s="16">
        <f>IF('Calculation Sheet'!$D$11,'Manager Sheet'!$E$11,NA())</f>
        <v>200</v>
      </c>
    </row>
    <row r="120" spans="15:27" x14ac:dyDescent="0.25">
      <c r="O120" s="4">
        <v>112</v>
      </c>
      <c r="P120" s="4">
        <f t="shared" si="11"/>
        <v>5180</v>
      </c>
      <c r="Q120" s="5">
        <f>'Manager Sheet'!U119</f>
        <v>409</v>
      </c>
      <c r="R120" s="5">
        <f t="shared" si="6"/>
        <v>409</v>
      </c>
      <c r="S120" s="5">
        <f t="shared" si="7"/>
        <v>0</v>
      </c>
      <c r="T120" s="5">
        <f t="shared" si="8"/>
        <v>4771</v>
      </c>
      <c r="U120" s="42">
        <f>T120*'Constants Sheet'!$E$13</f>
        <v>392.13698630136986</v>
      </c>
      <c r="V120" s="40">
        <f>IF(T120&lt;'Manager Sheet'!$E$11,'Manager Sheet'!$E$14,0)</f>
        <v>0</v>
      </c>
      <c r="W120" s="45">
        <f>IFERROR(VLOOKUP(V120,'Constants Sheet'!$H$11:$J$14,3,TRUE),0)</f>
        <v>0</v>
      </c>
      <c r="Y120" s="15">
        <f t="shared" si="9"/>
        <v>4771</v>
      </c>
      <c r="Z120">
        <f t="shared" si="10"/>
        <v>409</v>
      </c>
      <c r="AA120" s="16">
        <f>IF('Calculation Sheet'!$D$11,'Manager Sheet'!$E$11,NA())</f>
        <v>200</v>
      </c>
    </row>
    <row r="121" spans="15:27" x14ac:dyDescent="0.25">
      <c r="O121" s="4">
        <v>113</v>
      </c>
      <c r="P121" s="4">
        <f t="shared" si="11"/>
        <v>4771</v>
      </c>
      <c r="Q121" s="5">
        <f>'Manager Sheet'!U120</f>
        <v>519</v>
      </c>
      <c r="R121" s="5">
        <f t="shared" si="6"/>
        <v>519</v>
      </c>
      <c r="S121" s="5">
        <f t="shared" si="7"/>
        <v>0</v>
      </c>
      <c r="T121" s="5">
        <f t="shared" si="8"/>
        <v>4252</v>
      </c>
      <c r="U121" s="42">
        <f>T121*'Constants Sheet'!$E$13</f>
        <v>349.47945205479448</v>
      </c>
      <c r="V121" s="40">
        <f>IF(T121&lt;'Manager Sheet'!$E$11,'Manager Sheet'!$E$14,0)</f>
        <v>0</v>
      </c>
      <c r="W121" s="45">
        <f>IFERROR(VLOOKUP(V121,'Constants Sheet'!$H$11:$J$14,3,TRUE),0)</f>
        <v>0</v>
      </c>
      <c r="Y121" s="15">
        <f t="shared" si="9"/>
        <v>4252</v>
      </c>
      <c r="Z121">
        <f t="shared" si="10"/>
        <v>519</v>
      </c>
      <c r="AA121" s="16">
        <f>IF('Calculation Sheet'!$D$11,'Manager Sheet'!$E$11,NA())</f>
        <v>200</v>
      </c>
    </row>
    <row r="122" spans="15:27" x14ac:dyDescent="0.25">
      <c r="O122" s="4">
        <v>114</v>
      </c>
      <c r="P122" s="4">
        <f t="shared" si="11"/>
        <v>4252</v>
      </c>
      <c r="Q122" s="5">
        <f>'Manager Sheet'!U121</f>
        <v>324</v>
      </c>
      <c r="R122" s="5">
        <f t="shared" si="6"/>
        <v>324</v>
      </c>
      <c r="S122" s="5">
        <f t="shared" si="7"/>
        <v>0</v>
      </c>
      <c r="T122" s="5">
        <f t="shared" si="8"/>
        <v>3928</v>
      </c>
      <c r="U122" s="42">
        <f>T122*'Constants Sheet'!$E$13</f>
        <v>322.84931506849313</v>
      </c>
      <c r="V122" s="40">
        <f>IF(T122&lt;'Manager Sheet'!$E$11,'Manager Sheet'!$E$14,0)</f>
        <v>0</v>
      </c>
      <c r="W122" s="45">
        <f>IFERROR(VLOOKUP(V122,'Constants Sheet'!$H$11:$J$14,3,TRUE),0)</f>
        <v>0</v>
      </c>
      <c r="Y122" s="15">
        <f t="shared" si="9"/>
        <v>3928</v>
      </c>
      <c r="Z122">
        <f t="shared" si="10"/>
        <v>324</v>
      </c>
      <c r="AA122" s="16">
        <f>IF('Calculation Sheet'!$D$11,'Manager Sheet'!$E$11,NA())</f>
        <v>200</v>
      </c>
    </row>
    <row r="123" spans="15:27" x14ac:dyDescent="0.25">
      <c r="O123" s="4">
        <v>115</v>
      </c>
      <c r="P123" s="4">
        <f t="shared" si="11"/>
        <v>3928</v>
      </c>
      <c r="Q123" s="5">
        <f>'Manager Sheet'!U122</f>
        <v>433</v>
      </c>
      <c r="R123" s="5">
        <f t="shared" si="6"/>
        <v>433</v>
      </c>
      <c r="S123" s="5">
        <f t="shared" si="7"/>
        <v>0</v>
      </c>
      <c r="T123" s="5">
        <f t="shared" si="8"/>
        <v>3495</v>
      </c>
      <c r="U123" s="42">
        <f>T123*'Constants Sheet'!$E$13</f>
        <v>287.2602739726027</v>
      </c>
      <c r="V123" s="40">
        <f>IF(T123&lt;'Manager Sheet'!$E$11,'Manager Sheet'!$E$14,0)</f>
        <v>0</v>
      </c>
      <c r="W123" s="45">
        <f>IFERROR(VLOOKUP(V123,'Constants Sheet'!$H$11:$J$14,3,TRUE),0)</f>
        <v>0</v>
      </c>
      <c r="Y123" s="15">
        <f t="shared" si="9"/>
        <v>3495</v>
      </c>
      <c r="Z123">
        <f t="shared" si="10"/>
        <v>433</v>
      </c>
      <c r="AA123" s="16">
        <f>IF('Calculation Sheet'!$D$11,'Manager Sheet'!$E$11,NA())</f>
        <v>200</v>
      </c>
    </row>
    <row r="124" spans="15:27" x14ac:dyDescent="0.25">
      <c r="O124" s="4">
        <v>116</v>
      </c>
      <c r="P124" s="4">
        <f t="shared" si="11"/>
        <v>3495</v>
      </c>
      <c r="Q124" s="5">
        <f>'Manager Sheet'!U123</f>
        <v>710</v>
      </c>
      <c r="R124" s="5">
        <f t="shared" si="6"/>
        <v>710</v>
      </c>
      <c r="S124" s="5">
        <f t="shared" si="7"/>
        <v>0</v>
      </c>
      <c r="T124" s="5">
        <f t="shared" si="8"/>
        <v>2785</v>
      </c>
      <c r="U124" s="42">
        <f>T124*'Constants Sheet'!$E$13</f>
        <v>228.90410958904107</v>
      </c>
      <c r="V124" s="40">
        <f>IF(T124&lt;'Manager Sheet'!$E$11,'Manager Sheet'!$E$14,0)</f>
        <v>0</v>
      </c>
      <c r="W124" s="45">
        <f>IFERROR(VLOOKUP(V124,'Constants Sheet'!$H$11:$J$14,3,TRUE),0)</f>
        <v>0</v>
      </c>
      <c r="Y124" s="15">
        <f t="shared" si="9"/>
        <v>2785</v>
      </c>
      <c r="Z124">
        <f t="shared" si="10"/>
        <v>710</v>
      </c>
      <c r="AA124" s="16">
        <f>IF('Calculation Sheet'!$D$11,'Manager Sheet'!$E$11,NA())</f>
        <v>200</v>
      </c>
    </row>
    <row r="125" spans="15:27" x14ac:dyDescent="0.25">
      <c r="O125" s="4">
        <v>117</v>
      </c>
      <c r="P125" s="4">
        <f t="shared" si="11"/>
        <v>2785</v>
      </c>
      <c r="Q125" s="5">
        <f>'Manager Sheet'!U124</f>
        <v>586</v>
      </c>
      <c r="R125" s="5">
        <f t="shared" si="6"/>
        <v>586</v>
      </c>
      <c r="S125" s="5">
        <f t="shared" si="7"/>
        <v>0</v>
      </c>
      <c r="T125" s="5">
        <f t="shared" si="8"/>
        <v>2199</v>
      </c>
      <c r="U125" s="42">
        <f>T125*'Constants Sheet'!$E$13</f>
        <v>180.73972602739724</v>
      </c>
      <c r="V125" s="40">
        <f>IF(T125&lt;'Manager Sheet'!$E$11,'Manager Sheet'!$E$14,0)</f>
        <v>0</v>
      </c>
      <c r="W125" s="45">
        <f>IFERROR(VLOOKUP(V125,'Constants Sheet'!$H$11:$J$14,3,TRUE),0)</f>
        <v>0</v>
      </c>
      <c r="Y125" s="15">
        <f t="shared" si="9"/>
        <v>2199</v>
      </c>
      <c r="Z125">
        <f t="shared" si="10"/>
        <v>586</v>
      </c>
      <c r="AA125" s="16">
        <f>IF('Calculation Sheet'!$D$11,'Manager Sheet'!$E$11,NA())</f>
        <v>200</v>
      </c>
    </row>
    <row r="126" spans="15:27" x14ac:dyDescent="0.25">
      <c r="O126" s="4">
        <v>118</v>
      </c>
      <c r="P126" s="4">
        <f t="shared" si="11"/>
        <v>2199</v>
      </c>
      <c r="Q126" s="5">
        <f>'Manager Sheet'!U125</f>
        <v>300</v>
      </c>
      <c r="R126" s="5">
        <f t="shared" si="6"/>
        <v>300</v>
      </c>
      <c r="S126" s="5">
        <f t="shared" si="7"/>
        <v>0</v>
      </c>
      <c r="T126" s="5">
        <f t="shared" si="8"/>
        <v>1899</v>
      </c>
      <c r="U126" s="42">
        <f>T126*'Constants Sheet'!$E$13</f>
        <v>156.08219178082192</v>
      </c>
      <c r="V126" s="40">
        <f>IF(T126&lt;'Manager Sheet'!$E$11,'Manager Sheet'!$E$14,0)</f>
        <v>0</v>
      </c>
      <c r="W126" s="45">
        <f>IFERROR(VLOOKUP(V126,'Constants Sheet'!$H$11:$J$14,3,TRUE),0)</f>
        <v>0</v>
      </c>
      <c r="Y126" s="15">
        <f t="shared" si="9"/>
        <v>1899</v>
      </c>
      <c r="Z126">
        <f t="shared" si="10"/>
        <v>300</v>
      </c>
      <c r="AA126" s="16">
        <f>IF('Calculation Sheet'!$D$11,'Manager Sheet'!$E$11,NA())</f>
        <v>200</v>
      </c>
    </row>
    <row r="127" spans="15:27" x14ac:dyDescent="0.25">
      <c r="O127" s="4">
        <v>119</v>
      </c>
      <c r="P127" s="4">
        <f t="shared" si="11"/>
        <v>1899</v>
      </c>
      <c r="Q127" s="5">
        <f>'Manager Sheet'!U126</f>
        <v>535</v>
      </c>
      <c r="R127" s="5">
        <f t="shared" si="6"/>
        <v>535</v>
      </c>
      <c r="S127" s="5">
        <f t="shared" si="7"/>
        <v>0</v>
      </c>
      <c r="T127" s="5">
        <f t="shared" si="8"/>
        <v>1364</v>
      </c>
      <c r="U127" s="42">
        <f>T127*'Constants Sheet'!$E$13</f>
        <v>112.10958904109589</v>
      </c>
      <c r="V127" s="40">
        <f>IF(T127&lt;'Manager Sheet'!$E$11,'Manager Sheet'!$E$14,0)</f>
        <v>0</v>
      </c>
      <c r="W127" s="45">
        <f>IFERROR(VLOOKUP(V127,'Constants Sheet'!$H$11:$J$14,3,TRUE),0)</f>
        <v>0</v>
      </c>
      <c r="Y127" s="15">
        <f t="shared" si="9"/>
        <v>1364</v>
      </c>
      <c r="Z127">
        <f t="shared" si="10"/>
        <v>535</v>
      </c>
      <c r="AA127" s="16">
        <f>IF('Calculation Sheet'!$D$11,'Manager Sheet'!$E$11,NA())</f>
        <v>200</v>
      </c>
    </row>
    <row r="128" spans="15:27" x14ac:dyDescent="0.25">
      <c r="O128" s="4">
        <v>120</v>
      </c>
      <c r="P128" s="4">
        <f t="shared" si="11"/>
        <v>1364</v>
      </c>
      <c r="Q128" s="5">
        <f>'Manager Sheet'!U127</f>
        <v>558</v>
      </c>
      <c r="R128" s="5">
        <f t="shared" si="6"/>
        <v>558</v>
      </c>
      <c r="S128" s="5">
        <f t="shared" si="7"/>
        <v>0</v>
      </c>
      <c r="T128" s="5">
        <f t="shared" si="8"/>
        <v>806</v>
      </c>
      <c r="U128" s="42">
        <f>T128*'Constants Sheet'!$E$13</f>
        <v>66.246575342465746</v>
      </c>
      <c r="V128" s="40">
        <f>IF(T128&lt;'Manager Sheet'!$E$11,'Manager Sheet'!$E$14,0)</f>
        <v>0</v>
      </c>
      <c r="W128" s="45">
        <f>IFERROR(VLOOKUP(V128,'Constants Sheet'!$H$11:$J$14,3,TRUE),0)</f>
        <v>0</v>
      </c>
      <c r="Y128" s="15">
        <f t="shared" si="9"/>
        <v>806</v>
      </c>
      <c r="Z128">
        <f t="shared" si="10"/>
        <v>558</v>
      </c>
      <c r="AA128" s="16">
        <f>IF('Calculation Sheet'!$D$11,'Manager Sheet'!$E$11,NA())</f>
        <v>200</v>
      </c>
    </row>
    <row r="129" spans="15:27" x14ac:dyDescent="0.25">
      <c r="O129" s="4">
        <v>121</v>
      </c>
      <c r="P129" s="4">
        <f t="shared" si="11"/>
        <v>806</v>
      </c>
      <c r="Q129" s="5">
        <f>'Manager Sheet'!U128</f>
        <v>603</v>
      </c>
      <c r="R129" s="5">
        <f t="shared" si="6"/>
        <v>603</v>
      </c>
      <c r="S129" s="5">
        <f t="shared" si="7"/>
        <v>0</v>
      </c>
      <c r="T129" s="5">
        <f t="shared" si="8"/>
        <v>203</v>
      </c>
      <c r="U129" s="42">
        <f>T129*'Constants Sheet'!$E$13</f>
        <v>16.684931506849313</v>
      </c>
      <c r="V129" s="40">
        <f>IF(T129&lt;'Manager Sheet'!$E$11,'Manager Sheet'!$E$14,0)</f>
        <v>0</v>
      </c>
      <c r="W129" s="45">
        <f>IFERROR(VLOOKUP(V129,'Constants Sheet'!$H$11:$J$14,3,TRUE),0)</f>
        <v>0</v>
      </c>
      <c r="Y129" s="15">
        <f t="shared" si="9"/>
        <v>203</v>
      </c>
      <c r="Z129">
        <f t="shared" si="10"/>
        <v>603</v>
      </c>
      <c r="AA129" s="16">
        <f>IF('Calculation Sheet'!$D$11,'Manager Sheet'!$E$11,NA())</f>
        <v>200</v>
      </c>
    </row>
    <row r="130" spans="15:27" x14ac:dyDescent="0.25">
      <c r="O130" s="4">
        <v>122</v>
      </c>
      <c r="P130" s="4">
        <f t="shared" si="11"/>
        <v>203</v>
      </c>
      <c r="Q130" s="5">
        <f>'Manager Sheet'!U129</f>
        <v>546</v>
      </c>
      <c r="R130" s="5">
        <f t="shared" si="6"/>
        <v>203</v>
      </c>
      <c r="S130" s="5">
        <f t="shared" si="7"/>
        <v>343</v>
      </c>
      <c r="T130" s="5">
        <f t="shared" si="8"/>
        <v>0</v>
      </c>
      <c r="U130" s="42">
        <f>T130*'Constants Sheet'!$E$13</f>
        <v>0</v>
      </c>
      <c r="V130" s="40">
        <f>IF(T130&lt;'Manager Sheet'!$E$11,'Manager Sheet'!$E$14,0)</f>
        <v>5000</v>
      </c>
      <c r="W130" s="45">
        <f>IFERROR(VLOOKUP(V130,'Constants Sheet'!$H$11:$J$14,3,TRUE),0)</f>
        <v>175</v>
      </c>
      <c r="Y130" s="15">
        <f t="shared" si="9"/>
        <v>0</v>
      </c>
      <c r="Z130">
        <f t="shared" si="10"/>
        <v>546</v>
      </c>
      <c r="AA130" s="16">
        <f>IF('Calculation Sheet'!$D$11,'Manager Sheet'!$E$11,NA())</f>
        <v>200</v>
      </c>
    </row>
    <row r="131" spans="15:27" x14ac:dyDescent="0.25">
      <c r="O131" s="4">
        <v>123</v>
      </c>
      <c r="P131" s="4">
        <f t="shared" si="11"/>
        <v>5000</v>
      </c>
      <c r="Q131" s="5">
        <f>'Manager Sheet'!U130</f>
        <v>808</v>
      </c>
      <c r="R131" s="5">
        <f t="shared" si="6"/>
        <v>808</v>
      </c>
      <c r="S131" s="5">
        <f t="shared" si="7"/>
        <v>0</v>
      </c>
      <c r="T131" s="5">
        <f t="shared" si="8"/>
        <v>4192</v>
      </c>
      <c r="U131" s="42">
        <f>T131*'Constants Sheet'!$E$13</f>
        <v>344.54794520547944</v>
      </c>
      <c r="V131" s="40">
        <f>IF(T131&lt;'Manager Sheet'!$E$11,'Manager Sheet'!$E$14,0)</f>
        <v>0</v>
      </c>
      <c r="W131" s="45">
        <f>IFERROR(VLOOKUP(V131,'Constants Sheet'!$H$11:$J$14,3,TRUE),0)</f>
        <v>0</v>
      </c>
      <c r="Y131" s="15">
        <f t="shared" si="9"/>
        <v>4192</v>
      </c>
      <c r="Z131">
        <f t="shared" si="10"/>
        <v>808</v>
      </c>
      <c r="AA131" s="16">
        <f>IF('Calculation Sheet'!$D$11,'Manager Sheet'!$E$11,NA())</f>
        <v>200</v>
      </c>
    </row>
    <row r="132" spans="15:27" x14ac:dyDescent="0.25">
      <c r="O132" s="4">
        <v>124</v>
      </c>
      <c r="P132" s="4">
        <f t="shared" si="11"/>
        <v>4192</v>
      </c>
      <c r="Q132" s="5">
        <f>'Manager Sheet'!U131</f>
        <v>687</v>
      </c>
      <c r="R132" s="5">
        <f t="shared" si="6"/>
        <v>687</v>
      </c>
      <c r="S132" s="5">
        <f t="shared" si="7"/>
        <v>0</v>
      </c>
      <c r="T132" s="5">
        <f t="shared" si="8"/>
        <v>3505</v>
      </c>
      <c r="U132" s="42">
        <f>T132*'Constants Sheet'!$E$13</f>
        <v>288.08219178082192</v>
      </c>
      <c r="V132" s="40">
        <f>IF(T132&lt;'Manager Sheet'!$E$11,'Manager Sheet'!$E$14,0)</f>
        <v>0</v>
      </c>
      <c r="W132" s="45">
        <f>IFERROR(VLOOKUP(V132,'Constants Sheet'!$H$11:$J$14,3,TRUE),0)</f>
        <v>0</v>
      </c>
      <c r="Y132" s="15">
        <f t="shared" si="9"/>
        <v>3505</v>
      </c>
      <c r="Z132">
        <f t="shared" si="10"/>
        <v>687</v>
      </c>
      <c r="AA132" s="16">
        <f>IF('Calculation Sheet'!$D$11,'Manager Sheet'!$E$11,NA())</f>
        <v>200</v>
      </c>
    </row>
    <row r="133" spans="15:27" x14ac:dyDescent="0.25">
      <c r="O133" s="4">
        <v>125</v>
      </c>
      <c r="P133" s="4">
        <f t="shared" si="11"/>
        <v>3505</v>
      </c>
      <c r="Q133" s="5">
        <f>'Manager Sheet'!U132</f>
        <v>486</v>
      </c>
      <c r="R133" s="5">
        <f t="shared" si="6"/>
        <v>486</v>
      </c>
      <c r="S133" s="5">
        <f t="shared" si="7"/>
        <v>0</v>
      </c>
      <c r="T133" s="5">
        <f t="shared" si="8"/>
        <v>3019</v>
      </c>
      <c r="U133" s="42">
        <f>T133*'Constants Sheet'!$E$13</f>
        <v>248.13698630136986</v>
      </c>
      <c r="V133" s="40">
        <f>IF(T133&lt;'Manager Sheet'!$E$11,'Manager Sheet'!$E$14,0)</f>
        <v>0</v>
      </c>
      <c r="W133" s="45">
        <f>IFERROR(VLOOKUP(V133,'Constants Sheet'!$H$11:$J$14,3,TRUE),0)</f>
        <v>0</v>
      </c>
      <c r="Y133" s="15">
        <f t="shared" si="9"/>
        <v>3019</v>
      </c>
      <c r="Z133">
        <f t="shared" si="10"/>
        <v>486</v>
      </c>
      <c r="AA133" s="16">
        <f>IF('Calculation Sheet'!$D$11,'Manager Sheet'!$E$11,NA())</f>
        <v>200</v>
      </c>
    </row>
    <row r="134" spans="15:27" x14ac:dyDescent="0.25">
      <c r="O134" s="4">
        <v>126</v>
      </c>
      <c r="P134" s="4">
        <f t="shared" si="11"/>
        <v>3019</v>
      </c>
      <c r="Q134" s="5">
        <f>'Manager Sheet'!U133</f>
        <v>478</v>
      </c>
      <c r="R134" s="5">
        <f t="shared" si="6"/>
        <v>478</v>
      </c>
      <c r="S134" s="5">
        <f t="shared" si="7"/>
        <v>0</v>
      </c>
      <c r="T134" s="5">
        <f t="shared" si="8"/>
        <v>2541</v>
      </c>
      <c r="U134" s="42">
        <f>T134*'Constants Sheet'!$E$13</f>
        <v>208.84931506849313</v>
      </c>
      <c r="V134" s="40">
        <f>IF(T134&lt;'Manager Sheet'!$E$11,'Manager Sheet'!$E$14,0)</f>
        <v>0</v>
      </c>
      <c r="W134" s="45">
        <f>IFERROR(VLOOKUP(V134,'Constants Sheet'!$H$11:$J$14,3,TRUE),0)</f>
        <v>0</v>
      </c>
      <c r="Y134" s="15">
        <f t="shared" si="9"/>
        <v>2541</v>
      </c>
      <c r="Z134">
        <f t="shared" si="10"/>
        <v>478</v>
      </c>
      <c r="AA134" s="16">
        <f>IF('Calculation Sheet'!$D$11,'Manager Sheet'!$E$11,NA())</f>
        <v>200</v>
      </c>
    </row>
    <row r="135" spans="15:27" x14ac:dyDescent="0.25">
      <c r="O135" s="4">
        <v>127</v>
      </c>
      <c r="P135" s="4">
        <f t="shared" si="11"/>
        <v>2541</v>
      </c>
      <c r="Q135" s="5">
        <f>'Manager Sheet'!U134</f>
        <v>510</v>
      </c>
      <c r="R135" s="5">
        <f t="shared" si="6"/>
        <v>510</v>
      </c>
      <c r="S135" s="5">
        <f t="shared" si="7"/>
        <v>0</v>
      </c>
      <c r="T135" s="5">
        <f t="shared" si="8"/>
        <v>2031</v>
      </c>
      <c r="U135" s="42">
        <f>T135*'Constants Sheet'!$E$13</f>
        <v>166.93150684931507</v>
      </c>
      <c r="V135" s="40">
        <f>IF(T135&lt;'Manager Sheet'!$E$11,'Manager Sheet'!$E$14,0)</f>
        <v>0</v>
      </c>
      <c r="W135" s="45">
        <f>IFERROR(VLOOKUP(V135,'Constants Sheet'!$H$11:$J$14,3,TRUE),0)</f>
        <v>0</v>
      </c>
      <c r="Y135" s="15">
        <f t="shared" si="9"/>
        <v>2031</v>
      </c>
      <c r="Z135">
        <f t="shared" si="10"/>
        <v>510</v>
      </c>
      <c r="AA135" s="16">
        <f>IF('Calculation Sheet'!$D$11,'Manager Sheet'!$E$11,NA())</f>
        <v>200</v>
      </c>
    </row>
    <row r="136" spans="15:27" x14ac:dyDescent="0.25">
      <c r="O136" s="4">
        <v>128</v>
      </c>
      <c r="P136" s="4">
        <f t="shared" si="11"/>
        <v>2031</v>
      </c>
      <c r="Q136" s="5">
        <f>'Manager Sheet'!U135</f>
        <v>828</v>
      </c>
      <c r="R136" s="5">
        <f t="shared" si="6"/>
        <v>828</v>
      </c>
      <c r="S136" s="5">
        <f t="shared" si="7"/>
        <v>0</v>
      </c>
      <c r="T136" s="5">
        <f t="shared" si="8"/>
        <v>1203</v>
      </c>
      <c r="U136" s="42">
        <f>T136*'Constants Sheet'!$E$13</f>
        <v>98.876712328767113</v>
      </c>
      <c r="V136" s="40">
        <f>IF(T136&lt;'Manager Sheet'!$E$11,'Manager Sheet'!$E$14,0)</f>
        <v>0</v>
      </c>
      <c r="W136" s="45">
        <f>IFERROR(VLOOKUP(V136,'Constants Sheet'!$H$11:$J$14,3,TRUE),0)</f>
        <v>0</v>
      </c>
      <c r="Y136" s="15">
        <f t="shared" si="9"/>
        <v>1203</v>
      </c>
      <c r="Z136">
        <f t="shared" si="10"/>
        <v>828</v>
      </c>
      <c r="AA136" s="16">
        <f>IF('Calculation Sheet'!$D$11,'Manager Sheet'!$E$11,NA())</f>
        <v>200</v>
      </c>
    </row>
    <row r="137" spans="15:27" x14ac:dyDescent="0.25">
      <c r="O137" s="4">
        <v>129</v>
      </c>
      <c r="P137" s="4">
        <f t="shared" si="11"/>
        <v>1203</v>
      </c>
      <c r="Q137" s="5">
        <f>'Manager Sheet'!U136</f>
        <v>469</v>
      </c>
      <c r="R137" s="5">
        <f t="shared" si="6"/>
        <v>469</v>
      </c>
      <c r="S137" s="5">
        <f t="shared" si="7"/>
        <v>0</v>
      </c>
      <c r="T137" s="5">
        <f t="shared" si="8"/>
        <v>734</v>
      </c>
      <c r="U137" s="42">
        <f>T137*'Constants Sheet'!$E$13</f>
        <v>60.328767123287669</v>
      </c>
      <c r="V137" s="40">
        <f>IF(T137&lt;'Manager Sheet'!$E$11,'Manager Sheet'!$E$14,0)</f>
        <v>0</v>
      </c>
      <c r="W137" s="45">
        <f>IFERROR(VLOOKUP(V137,'Constants Sheet'!$H$11:$J$14,3,TRUE),0)</f>
        <v>0</v>
      </c>
      <c r="Y137" s="15">
        <f t="shared" si="9"/>
        <v>734</v>
      </c>
      <c r="Z137">
        <f t="shared" si="10"/>
        <v>469</v>
      </c>
      <c r="AA137" s="16">
        <f>IF('Calculation Sheet'!$D$11,'Manager Sheet'!$E$11,NA())</f>
        <v>200</v>
      </c>
    </row>
    <row r="138" spans="15:27" x14ac:dyDescent="0.25">
      <c r="O138" s="4">
        <v>130</v>
      </c>
      <c r="P138" s="4">
        <f t="shared" si="11"/>
        <v>734</v>
      </c>
      <c r="Q138" s="5">
        <f>'Manager Sheet'!U137</f>
        <v>520</v>
      </c>
      <c r="R138" s="5">
        <f t="shared" ref="R138:R201" si="12">IF(P138&gt;Q138,Q138,P138)</f>
        <v>520</v>
      </c>
      <c r="S138" s="5">
        <f t="shared" ref="S138:S201" si="13">Q138-R138</f>
        <v>0</v>
      </c>
      <c r="T138" s="5">
        <f t="shared" ref="T138:T201" si="14">P138-R138</f>
        <v>214</v>
      </c>
      <c r="U138" s="42">
        <f>T138*'Constants Sheet'!$E$13</f>
        <v>17.589041095890408</v>
      </c>
      <c r="V138" s="40">
        <f>IF(T138&lt;'Manager Sheet'!$E$11,'Manager Sheet'!$E$14,0)</f>
        <v>0</v>
      </c>
      <c r="W138" s="45">
        <f>IFERROR(VLOOKUP(V138,'Constants Sheet'!$H$11:$J$14,3,TRUE),0)</f>
        <v>0</v>
      </c>
      <c r="Y138" s="15">
        <f t="shared" ref="Y138:Y201" si="15">IF($D$10,T138,NA())</f>
        <v>214</v>
      </c>
      <c r="Z138">
        <f t="shared" ref="Z138:Z201" si="16">IF($D$9,Q138,NA())</f>
        <v>520</v>
      </c>
      <c r="AA138" s="16">
        <f>IF('Calculation Sheet'!$D$11,'Manager Sheet'!$E$11,NA())</f>
        <v>200</v>
      </c>
    </row>
    <row r="139" spans="15:27" x14ac:dyDescent="0.25">
      <c r="O139" s="4">
        <v>131</v>
      </c>
      <c r="P139" s="4">
        <f t="shared" ref="P139:P202" si="17">T138+V138</f>
        <v>214</v>
      </c>
      <c r="Q139" s="5">
        <f>'Manager Sheet'!U138</f>
        <v>328</v>
      </c>
      <c r="R139" s="5">
        <f t="shared" si="12"/>
        <v>214</v>
      </c>
      <c r="S139" s="5">
        <f t="shared" si="13"/>
        <v>114</v>
      </c>
      <c r="T139" s="5">
        <f t="shared" si="14"/>
        <v>0</v>
      </c>
      <c r="U139" s="42">
        <f>T139*'Constants Sheet'!$E$13</f>
        <v>0</v>
      </c>
      <c r="V139" s="40">
        <f>IF(T139&lt;'Manager Sheet'!$E$11,'Manager Sheet'!$E$14,0)</f>
        <v>5000</v>
      </c>
      <c r="W139" s="45">
        <f>IFERROR(VLOOKUP(V139,'Constants Sheet'!$H$11:$J$14,3,TRUE),0)</f>
        <v>175</v>
      </c>
      <c r="Y139" s="15">
        <f t="shared" si="15"/>
        <v>0</v>
      </c>
      <c r="Z139">
        <f t="shared" si="16"/>
        <v>328</v>
      </c>
      <c r="AA139" s="16">
        <f>IF('Calculation Sheet'!$D$11,'Manager Sheet'!$E$11,NA())</f>
        <v>200</v>
      </c>
    </row>
    <row r="140" spans="15:27" x14ac:dyDescent="0.25">
      <c r="O140" s="4">
        <v>132</v>
      </c>
      <c r="P140" s="4">
        <f t="shared" si="17"/>
        <v>5000</v>
      </c>
      <c r="Q140" s="5">
        <f>'Manager Sheet'!U139</f>
        <v>599</v>
      </c>
      <c r="R140" s="5">
        <f t="shared" si="12"/>
        <v>599</v>
      </c>
      <c r="S140" s="5">
        <f t="shared" si="13"/>
        <v>0</v>
      </c>
      <c r="T140" s="5">
        <f t="shared" si="14"/>
        <v>4401</v>
      </c>
      <c r="U140" s="42">
        <f>T140*'Constants Sheet'!$E$13</f>
        <v>361.72602739726028</v>
      </c>
      <c r="V140" s="40">
        <f>IF(T140&lt;'Manager Sheet'!$E$11,'Manager Sheet'!$E$14,0)</f>
        <v>0</v>
      </c>
      <c r="W140" s="45">
        <f>IFERROR(VLOOKUP(V140,'Constants Sheet'!$H$11:$J$14,3,TRUE),0)</f>
        <v>0</v>
      </c>
      <c r="Y140" s="15">
        <f t="shared" si="15"/>
        <v>4401</v>
      </c>
      <c r="Z140">
        <f t="shared" si="16"/>
        <v>599</v>
      </c>
      <c r="AA140" s="16">
        <f>IF('Calculation Sheet'!$D$11,'Manager Sheet'!$E$11,NA())</f>
        <v>200</v>
      </c>
    </row>
    <row r="141" spans="15:27" x14ac:dyDescent="0.25">
      <c r="O141" s="4">
        <v>133</v>
      </c>
      <c r="P141" s="4">
        <f t="shared" si="17"/>
        <v>4401</v>
      </c>
      <c r="Q141" s="5">
        <f>'Manager Sheet'!U140</f>
        <v>542</v>
      </c>
      <c r="R141" s="5">
        <f t="shared" si="12"/>
        <v>542</v>
      </c>
      <c r="S141" s="5">
        <f t="shared" si="13"/>
        <v>0</v>
      </c>
      <c r="T141" s="5">
        <f t="shared" si="14"/>
        <v>3859</v>
      </c>
      <c r="U141" s="42">
        <f>T141*'Constants Sheet'!$E$13</f>
        <v>317.17808219178079</v>
      </c>
      <c r="V141" s="40">
        <f>IF(T141&lt;'Manager Sheet'!$E$11,'Manager Sheet'!$E$14,0)</f>
        <v>0</v>
      </c>
      <c r="W141" s="45">
        <f>IFERROR(VLOOKUP(V141,'Constants Sheet'!$H$11:$J$14,3,TRUE),0)</f>
        <v>0</v>
      </c>
      <c r="Y141" s="15">
        <f t="shared" si="15"/>
        <v>3859</v>
      </c>
      <c r="Z141">
        <f t="shared" si="16"/>
        <v>542</v>
      </c>
      <c r="AA141" s="16">
        <f>IF('Calculation Sheet'!$D$11,'Manager Sheet'!$E$11,NA())</f>
        <v>200</v>
      </c>
    </row>
    <row r="142" spans="15:27" x14ac:dyDescent="0.25">
      <c r="O142" s="4">
        <v>134</v>
      </c>
      <c r="P142" s="4">
        <f t="shared" si="17"/>
        <v>3859</v>
      </c>
      <c r="Q142" s="5">
        <f>'Manager Sheet'!U141</f>
        <v>534</v>
      </c>
      <c r="R142" s="5">
        <f t="shared" si="12"/>
        <v>534</v>
      </c>
      <c r="S142" s="5">
        <f t="shared" si="13"/>
        <v>0</v>
      </c>
      <c r="T142" s="5">
        <f t="shared" si="14"/>
        <v>3325</v>
      </c>
      <c r="U142" s="42">
        <f>T142*'Constants Sheet'!$E$13</f>
        <v>273.28767123287668</v>
      </c>
      <c r="V142" s="40">
        <f>IF(T142&lt;'Manager Sheet'!$E$11,'Manager Sheet'!$E$14,0)</f>
        <v>0</v>
      </c>
      <c r="W142" s="45">
        <f>IFERROR(VLOOKUP(V142,'Constants Sheet'!$H$11:$J$14,3,TRUE),0)</f>
        <v>0</v>
      </c>
      <c r="Y142" s="15">
        <f t="shared" si="15"/>
        <v>3325</v>
      </c>
      <c r="Z142">
        <f t="shared" si="16"/>
        <v>534</v>
      </c>
      <c r="AA142" s="16">
        <f>IF('Calculation Sheet'!$D$11,'Manager Sheet'!$E$11,NA())</f>
        <v>200</v>
      </c>
    </row>
    <row r="143" spans="15:27" x14ac:dyDescent="0.25">
      <c r="O143" s="4">
        <v>135</v>
      </c>
      <c r="P143" s="4">
        <f t="shared" si="17"/>
        <v>3325</v>
      </c>
      <c r="Q143" s="5">
        <f>'Manager Sheet'!U142</f>
        <v>417</v>
      </c>
      <c r="R143" s="5">
        <f t="shared" si="12"/>
        <v>417</v>
      </c>
      <c r="S143" s="5">
        <f t="shared" si="13"/>
        <v>0</v>
      </c>
      <c r="T143" s="5">
        <f t="shared" si="14"/>
        <v>2908</v>
      </c>
      <c r="U143" s="42">
        <f>T143*'Constants Sheet'!$E$13</f>
        <v>239.01369863013699</v>
      </c>
      <c r="V143" s="40">
        <f>IF(T143&lt;'Manager Sheet'!$E$11,'Manager Sheet'!$E$14,0)</f>
        <v>0</v>
      </c>
      <c r="W143" s="45">
        <f>IFERROR(VLOOKUP(V143,'Constants Sheet'!$H$11:$J$14,3,TRUE),0)</f>
        <v>0</v>
      </c>
      <c r="Y143" s="15">
        <f t="shared" si="15"/>
        <v>2908</v>
      </c>
      <c r="Z143">
        <f t="shared" si="16"/>
        <v>417</v>
      </c>
      <c r="AA143" s="16">
        <f>IF('Calculation Sheet'!$D$11,'Manager Sheet'!$E$11,NA())</f>
        <v>200</v>
      </c>
    </row>
    <row r="144" spans="15:27" x14ac:dyDescent="0.25">
      <c r="O144" s="4">
        <v>136</v>
      </c>
      <c r="P144" s="4">
        <f t="shared" si="17"/>
        <v>2908</v>
      </c>
      <c r="Q144" s="5">
        <f>'Manager Sheet'!U143</f>
        <v>258</v>
      </c>
      <c r="R144" s="5">
        <f t="shared" si="12"/>
        <v>258</v>
      </c>
      <c r="S144" s="5">
        <f t="shared" si="13"/>
        <v>0</v>
      </c>
      <c r="T144" s="5">
        <f t="shared" si="14"/>
        <v>2650</v>
      </c>
      <c r="U144" s="42">
        <f>T144*'Constants Sheet'!$E$13</f>
        <v>217.80821917808217</v>
      </c>
      <c r="V144" s="40">
        <f>IF(T144&lt;'Manager Sheet'!$E$11,'Manager Sheet'!$E$14,0)</f>
        <v>0</v>
      </c>
      <c r="W144" s="45">
        <f>IFERROR(VLOOKUP(V144,'Constants Sheet'!$H$11:$J$14,3,TRUE),0)</f>
        <v>0</v>
      </c>
      <c r="Y144" s="15">
        <f t="shared" si="15"/>
        <v>2650</v>
      </c>
      <c r="Z144">
        <f t="shared" si="16"/>
        <v>258</v>
      </c>
      <c r="AA144" s="16">
        <f>IF('Calculation Sheet'!$D$11,'Manager Sheet'!$E$11,NA())</f>
        <v>200</v>
      </c>
    </row>
    <row r="145" spans="15:27" x14ac:dyDescent="0.25">
      <c r="O145" s="4">
        <v>137</v>
      </c>
      <c r="P145" s="4">
        <f t="shared" si="17"/>
        <v>2650</v>
      </c>
      <c r="Q145" s="5">
        <f>'Manager Sheet'!U144</f>
        <v>675</v>
      </c>
      <c r="R145" s="5">
        <f t="shared" si="12"/>
        <v>675</v>
      </c>
      <c r="S145" s="5">
        <f t="shared" si="13"/>
        <v>0</v>
      </c>
      <c r="T145" s="5">
        <f t="shared" si="14"/>
        <v>1975</v>
      </c>
      <c r="U145" s="42">
        <f>T145*'Constants Sheet'!$E$13</f>
        <v>162.32876712328766</v>
      </c>
      <c r="V145" s="40">
        <f>IF(T145&lt;'Manager Sheet'!$E$11,'Manager Sheet'!$E$14,0)</f>
        <v>0</v>
      </c>
      <c r="W145" s="45">
        <f>IFERROR(VLOOKUP(V145,'Constants Sheet'!$H$11:$J$14,3,TRUE),0)</f>
        <v>0</v>
      </c>
      <c r="Y145" s="15">
        <f t="shared" si="15"/>
        <v>1975</v>
      </c>
      <c r="Z145">
        <f t="shared" si="16"/>
        <v>675</v>
      </c>
      <c r="AA145" s="16">
        <f>IF('Calculation Sheet'!$D$11,'Manager Sheet'!$E$11,NA())</f>
        <v>200</v>
      </c>
    </row>
    <row r="146" spans="15:27" x14ac:dyDescent="0.25">
      <c r="O146" s="4">
        <v>138</v>
      </c>
      <c r="P146" s="4">
        <f t="shared" si="17"/>
        <v>1975</v>
      </c>
      <c r="Q146" s="5">
        <f>'Manager Sheet'!U145</f>
        <v>615</v>
      </c>
      <c r="R146" s="5">
        <f t="shared" si="12"/>
        <v>615</v>
      </c>
      <c r="S146" s="5">
        <f t="shared" si="13"/>
        <v>0</v>
      </c>
      <c r="T146" s="5">
        <f t="shared" si="14"/>
        <v>1360</v>
      </c>
      <c r="U146" s="42">
        <f>T146*'Constants Sheet'!$E$13</f>
        <v>111.78082191780821</v>
      </c>
      <c r="V146" s="40">
        <f>IF(T146&lt;'Manager Sheet'!$E$11,'Manager Sheet'!$E$14,0)</f>
        <v>0</v>
      </c>
      <c r="W146" s="45">
        <f>IFERROR(VLOOKUP(V146,'Constants Sheet'!$H$11:$J$14,3,TRUE),0)</f>
        <v>0</v>
      </c>
      <c r="Y146" s="15">
        <f t="shared" si="15"/>
        <v>1360</v>
      </c>
      <c r="Z146">
        <f t="shared" si="16"/>
        <v>615</v>
      </c>
      <c r="AA146" s="16">
        <f>IF('Calculation Sheet'!$D$11,'Manager Sheet'!$E$11,NA())</f>
        <v>200</v>
      </c>
    </row>
    <row r="147" spans="15:27" x14ac:dyDescent="0.25">
      <c r="O147" s="4">
        <v>139</v>
      </c>
      <c r="P147" s="4">
        <f t="shared" si="17"/>
        <v>1360</v>
      </c>
      <c r="Q147" s="5">
        <f>'Manager Sheet'!U146</f>
        <v>711</v>
      </c>
      <c r="R147" s="5">
        <f t="shared" si="12"/>
        <v>711</v>
      </c>
      <c r="S147" s="5">
        <f t="shared" si="13"/>
        <v>0</v>
      </c>
      <c r="T147" s="5">
        <f t="shared" si="14"/>
        <v>649</v>
      </c>
      <c r="U147" s="42">
        <f>T147*'Constants Sheet'!$E$13</f>
        <v>53.342465753424655</v>
      </c>
      <c r="V147" s="40">
        <f>IF(T147&lt;'Manager Sheet'!$E$11,'Manager Sheet'!$E$14,0)</f>
        <v>0</v>
      </c>
      <c r="W147" s="45">
        <f>IFERROR(VLOOKUP(V147,'Constants Sheet'!$H$11:$J$14,3,TRUE),0)</f>
        <v>0</v>
      </c>
      <c r="Y147" s="15">
        <f t="shared" si="15"/>
        <v>649</v>
      </c>
      <c r="Z147">
        <f t="shared" si="16"/>
        <v>711</v>
      </c>
      <c r="AA147" s="16">
        <f>IF('Calculation Sheet'!$D$11,'Manager Sheet'!$E$11,NA())</f>
        <v>200</v>
      </c>
    </row>
    <row r="148" spans="15:27" x14ac:dyDescent="0.25">
      <c r="O148" s="4">
        <v>140</v>
      </c>
      <c r="P148" s="4">
        <f t="shared" si="17"/>
        <v>649</v>
      </c>
      <c r="Q148" s="5">
        <f>'Manager Sheet'!U147</f>
        <v>410</v>
      </c>
      <c r="R148" s="5">
        <f t="shared" si="12"/>
        <v>410</v>
      </c>
      <c r="S148" s="5">
        <f t="shared" si="13"/>
        <v>0</v>
      </c>
      <c r="T148" s="5">
        <f t="shared" si="14"/>
        <v>239</v>
      </c>
      <c r="U148" s="42">
        <f>T148*'Constants Sheet'!$E$13</f>
        <v>19.643835616438356</v>
      </c>
      <c r="V148" s="40">
        <f>IF(T148&lt;'Manager Sheet'!$E$11,'Manager Sheet'!$E$14,0)</f>
        <v>0</v>
      </c>
      <c r="W148" s="45">
        <f>IFERROR(VLOOKUP(V148,'Constants Sheet'!$H$11:$J$14,3,TRUE),0)</f>
        <v>0</v>
      </c>
      <c r="Y148" s="15">
        <f t="shared" si="15"/>
        <v>239</v>
      </c>
      <c r="Z148">
        <f t="shared" si="16"/>
        <v>410</v>
      </c>
      <c r="AA148" s="16">
        <f>IF('Calculation Sheet'!$D$11,'Manager Sheet'!$E$11,NA())</f>
        <v>200</v>
      </c>
    </row>
    <row r="149" spans="15:27" x14ac:dyDescent="0.25">
      <c r="O149" s="4">
        <v>141</v>
      </c>
      <c r="P149" s="4">
        <f t="shared" si="17"/>
        <v>239</v>
      </c>
      <c r="Q149" s="5">
        <f>'Manager Sheet'!U148</f>
        <v>428</v>
      </c>
      <c r="R149" s="5">
        <f t="shared" si="12"/>
        <v>239</v>
      </c>
      <c r="S149" s="5">
        <f t="shared" si="13"/>
        <v>189</v>
      </c>
      <c r="T149" s="5">
        <f t="shared" si="14"/>
        <v>0</v>
      </c>
      <c r="U149" s="42">
        <f>T149*'Constants Sheet'!$E$13</f>
        <v>0</v>
      </c>
      <c r="V149" s="40">
        <f>IF(T149&lt;'Manager Sheet'!$E$11,'Manager Sheet'!$E$14,0)</f>
        <v>5000</v>
      </c>
      <c r="W149" s="45">
        <f>IFERROR(VLOOKUP(V149,'Constants Sheet'!$H$11:$J$14,3,TRUE),0)</f>
        <v>175</v>
      </c>
      <c r="Y149" s="15">
        <f t="shared" si="15"/>
        <v>0</v>
      </c>
      <c r="Z149">
        <f t="shared" si="16"/>
        <v>428</v>
      </c>
      <c r="AA149" s="16">
        <f>IF('Calculation Sheet'!$D$11,'Manager Sheet'!$E$11,NA())</f>
        <v>200</v>
      </c>
    </row>
    <row r="150" spans="15:27" x14ac:dyDescent="0.25">
      <c r="O150" s="4">
        <v>142</v>
      </c>
      <c r="P150" s="4">
        <f t="shared" si="17"/>
        <v>5000</v>
      </c>
      <c r="Q150" s="5">
        <f>'Manager Sheet'!U149</f>
        <v>423</v>
      </c>
      <c r="R150" s="5">
        <f t="shared" si="12"/>
        <v>423</v>
      </c>
      <c r="S150" s="5">
        <f t="shared" si="13"/>
        <v>0</v>
      </c>
      <c r="T150" s="5">
        <f t="shared" si="14"/>
        <v>4577</v>
      </c>
      <c r="U150" s="42">
        <f>T150*'Constants Sheet'!$E$13</f>
        <v>376.1917808219178</v>
      </c>
      <c r="V150" s="40">
        <f>IF(T150&lt;'Manager Sheet'!$E$11,'Manager Sheet'!$E$14,0)</f>
        <v>0</v>
      </c>
      <c r="W150" s="45">
        <f>IFERROR(VLOOKUP(V150,'Constants Sheet'!$H$11:$J$14,3,TRUE),0)</f>
        <v>0</v>
      </c>
      <c r="Y150" s="15">
        <f t="shared" si="15"/>
        <v>4577</v>
      </c>
      <c r="Z150">
        <f t="shared" si="16"/>
        <v>423</v>
      </c>
      <c r="AA150" s="16">
        <f>IF('Calculation Sheet'!$D$11,'Manager Sheet'!$E$11,NA())</f>
        <v>200</v>
      </c>
    </row>
    <row r="151" spans="15:27" x14ac:dyDescent="0.25">
      <c r="O151" s="4">
        <v>143</v>
      </c>
      <c r="P151" s="4">
        <f t="shared" si="17"/>
        <v>4577</v>
      </c>
      <c r="Q151" s="5">
        <f>'Manager Sheet'!U150</f>
        <v>535</v>
      </c>
      <c r="R151" s="5">
        <f t="shared" si="12"/>
        <v>535</v>
      </c>
      <c r="S151" s="5">
        <f t="shared" si="13"/>
        <v>0</v>
      </c>
      <c r="T151" s="5">
        <f t="shared" si="14"/>
        <v>4042</v>
      </c>
      <c r="U151" s="42">
        <f>T151*'Constants Sheet'!$E$13</f>
        <v>332.21917808219177</v>
      </c>
      <c r="V151" s="40">
        <f>IF(T151&lt;'Manager Sheet'!$E$11,'Manager Sheet'!$E$14,0)</f>
        <v>0</v>
      </c>
      <c r="W151" s="45">
        <f>IFERROR(VLOOKUP(V151,'Constants Sheet'!$H$11:$J$14,3,TRUE),0)</f>
        <v>0</v>
      </c>
      <c r="Y151" s="15">
        <f t="shared" si="15"/>
        <v>4042</v>
      </c>
      <c r="Z151">
        <f t="shared" si="16"/>
        <v>535</v>
      </c>
      <c r="AA151" s="16">
        <f>IF('Calculation Sheet'!$D$11,'Manager Sheet'!$E$11,NA())</f>
        <v>200</v>
      </c>
    </row>
    <row r="152" spans="15:27" x14ac:dyDescent="0.25">
      <c r="O152" s="4">
        <v>144</v>
      </c>
      <c r="P152" s="4">
        <f t="shared" si="17"/>
        <v>4042</v>
      </c>
      <c r="Q152" s="5">
        <f>'Manager Sheet'!U151</f>
        <v>475</v>
      </c>
      <c r="R152" s="5">
        <f t="shared" si="12"/>
        <v>475</v>
      </c>
      <c r="S152" s="5">
        <f t="shared" si="13"/>
        <v>0</v>
      </c>
      <c r="T152" s="5">
        <f t="shared" si="14"/>
        <v>3567</v>
      </c>
      <c r="U152" s="42">
        <f>T152*'Constants Sheet'!$E$13</f>
        <v>293.17808219178079</v>
      </c>
      <c r="V152" s="40">
        <f>IF(T152&lt;'Manager Sheet'!$E$11,'Manager Sheet'!$E$14,0)</f>
        <v>0</v>
      </c>
      <c r="W152" s="45">
        <f>IFERROR(VLOOKUP(V152,'Constants Sheet'!$H$11:$J$14,3,TRUE),0)</f>
        <v>0</v>
      </c>
      <c r="Y152" s="15">
        <f t="shared" si="15"/>
        <v>3567</v>
      </c>
      <c r="Z152">
        <f t="shared" si="16"/>
        <v>475</v>
      </c>
      <c r="AA152" s="16">
        <f>IF('Calculation Sheet'!$D$11,'Manager Sheet'!$E$11,NA())</f>
        <v>200</v>
      </c>
    </row>
    <row r="153" spans="15:27" x14ac:dyDescent="0.25">
      <c r="O153" s="4">
        <v>145</v>
      </c>
      <c r="P153" s="4">
        <f t="shared" si="17"/>
        <v>3567</v>
      </c>
      <c r="Q153" s="5">
        <f>'Manager Sheet'!U152</f>
        <v>482</v>
      </c>
      <c r="R153" s="5">
        <f t="shared" si="12"/>
        <v>482</v>
      </c>
      <c r="S153" s="5">
        <f t="shared" si="13"/>
        <v>0</v>
      </c>
      <c r="T153" s="5">
        <f t="shared" si="14"/>
        <v>3085</v>
      </c>
      <c r="U153" s="42">
        <f>T153*'Constants Sheet'!$E$13</f>
        <v>253.56164383561642</v>
      </c>
      <c r="V153" s="40">
        <f>IF(T153&lt;'Manager Sheet'!$E$11,'Manager Sheet'!$E$14,0)</f>
        <v>0</v>
      </c>
      <c r="W153" s="45">
        <f>IFERROR(VLOOKUP(V153,'Constants Sheet'!$H$11:$J$14,3,TRUE),0)</f>
        <v>0</v>
      </c>
      <c r="Y153" s="15">
        <f t="shared" si="15"/>
        <v>3085</v>
      </c>
      <c r="Z153">
        <f t="shared" si="16"/>
        <v>482</v>
      </c>
      <c r="AA153" s="16">
        <f>IF('Calculation Sheet'!$D$11,'Manager Sheet'!$E$11,NA())</f>
        <v>200</v>
      </c>
    </row>
    <row r="154" spans="15:27" x14ac:dyDescent="0.25">
      <c r="O154" s="4">
        <v>146</v>
      </c>
      <c r="P154" s="4">
        <f t="shared" si="17"/>
        <v>3085</v>
      </c>
      <c r="Q154" s="5">
        <f>'Manager Sheet'!U153</f>
        <v>263</v>
      </c>
      <c r="R154" s="5">
        <f t="shared" si="12"/>
        <v>263</v>
      </c>
      <c r="S154" s="5">
        <f t="shared" si="13"/>
        <v>0</v>
      </c>
      <c r="T154" s="5">
        <f t="shared" si="14"/>
        <v>2822</v>
      </c>
      <c r="U154" s="42">
        <f>T154*'Constants Sheet'!$E$13</f>
        <v>231.94520547945203</v>
      </c>
      <c r="V154" s="40">
        <f>IF(T154&lt;'Manager Sheet'!$E$11,'Manager Sheet'!$E$14,0)</f>
        <v>0</v>
      </c>
      <c r="W154" s="45">
        <f>IFERROR(VLOOKUP(V154,'Constants Sheet'!$H$11:$J$14,3,TRUE),0)</f>
        <v>0</v>
      </c>
      <c r="Y154" s="15">
        <f t="shared" si="15"/>
        <v>2822</v>
      </c>
      <c r="Z154">
        <f t="shared" si="16"/>
        <v>263</v>
      </c>
      <c r="AA154" s="16">
        <f>IF('Calculation Sheet'!$D$11,'Manager Sheet'!$E$11,NA())</f>
        <v>200</v>
      </c>
    </row>
    <row r="155" spans="15:27" x14ac:dyDescent="0.25">
      <c r="O155" s="4">
        <v>147</v>
      </c>
      <c r="P155" s="4">
        <f t="shared" si="17"/>
        <v>2822</v>
      </c>
      <c r="Q155" s="5">
        <f>'Manager Sheet'!U154</f>
        <v>466</v>
      </c>
      <c r="R155" s="5">
        <f t="shared" si="12"/>
        <v>466</v>
      </c>
      <c r="S155" s="5">
        <f t="shared" si="13"/>
        <v>0</v>
      </c>
      <c r="T155" s="5">
        <f t="shared" si="14"/>
        <v>2356</v>
      </c>
      <c r="U155" s="42">
        <f>T155*'Constants Sheet'!$E$13</f>
        <v>193.64383561643834</v>
      </c>
      <c r="V155" s="40">
        <f>IF(T155&lt;'Manager Sheet'!$E$11,'Manager Sheet'!$E$14,0)</f>
        <v>0</v>
      </c>
      <c r="W155" s="45">
        <f>IFERROR(VLOOKUP(V155,'Constants Sheet'!$H$11:$J$14,3,TRUE),0)</f>
        <v>0</v>
      </c>
      <c r="Y155" s="15">
        <f t="shared" si="15"/>
        <v>2356</v>
      </c>
      <c r="Z155">
        <f t="shared" si="16"/>
        <v>466</v>
      </c>
      <c r="AA155" s="16">
        <f>IF('Calculation Sheet'!$D$11,'Manager Sheet'!$E$11,NA())</f>
        <v>200</v>
      </c>
    </row>
    <row r="156" spans="15:27" x14ac:dyDescent="0.25">
      <c r="O156" s="4">
        <v>148</v>
      </c>
      <c r="P156" s="4">
        <f t="shared" si="17"/>
        <v>2356</v>
      </c>
      <c r="Q156" s="5">
        <f>'Manager Sheet'!U155</f>
        <v>236</v>
      </c>
      <c r="R156" s="5">
        <f t="shared" si="12"/>
        <v>236</v>
      </c>
      <c r="S156" s="5">
        <f t="shared" si="13"/>
        <v>0</v>
      </c>
      <c r="T156" s="5">
        <f t="shared" si="14"/>
        <v>2120</v>
      </c>
      <c r="U156" s="42">
        <f>T156*'Constants Sheet'!$E$13</f>
        <v>174.24657534246575</v>
      </c>
      <c r="V156" s="40">
        <f>IF(T156&lt;'Manager Sheet'!$E$11,'Manager Sheet'!$E$14,0)</f>
        <v>0</v>
      </c>
      <c r="W156" s="45">
        <f>IFERROR(VLOOKUP(V156,'Constants Sheet'!$H$11:$J$14,3,TRUE),0)</f>
        <v>0</v>
      </c>
      <c r="Y156" s="15">
        <f t="shared" si="15"/>
        <v>2120</v>
      </c>
      <c r="Z156">
        <f t="shared" si="16"/>
        <v>236</v>
      </c>
      <c r="AA156" s="16">
        <f>IF('Calculation Sheet'!$D$11,'Manager Sheet'!$E$11,NA())</f>
        <v>200</v>
      </c>
    </row>
    <row r="157" spans="15:27" x14ac:dyDescent="0.25">
      <c r="O157" s="4">
        <v>149</v>
      </c>
      <c r="P157" s="4">
        <f t="shared" si="17"/>
        <v>2120</v>
      </c>
      <c r="Q157" s="5">
        <f>'Manager Sheet'!U156</f>
        <v>401</v>
      </c>
      <c r="R157" s="5">
        <f t="shared" si="12"/>
        <v>401</v>
      </c>
      <c r="S157" s="5">
        <f t="shared" si="13"/>
        <v>0</v>
      </c>
      <c r="T157" s="5">
        <f t="shared" si="14"/>
        <v>1719</v>
      </c>
      <c r="U157" s="42">
        <f>T157*'Constants Sheet'!$E$13</f>
        <v>141.2876712328767</v>
      </c>
      <c r="V157" s="40">
        <f>IF(T157&lt;'Manager Sheet'!$E$11,'Manager Sheet'!$E$14,0)</f>
        <v>0</v>
      </c>
      <c r="W157" s="45">
        <f>IFERROR(VLOOKUP(V157,'Constants Sheet'!$H$11:$J$14,3,TRUE),0)</f>
        <v>0</v>
      </c>
      <c r="Y157" s="15">
        <f t="shared" si="15"/>
        <v>1719</v>
      </c>
      <c r="Z157">
        <f t="shared" si="16"/>
        <v>401</v>
      </c>
      <c r="AA157" s="16">
        <f>IF('Calculation Sheet'!$D$11,'Manager Sheet'!$E$11,NA())</f>
        <v>200</v>
      </c>
    </row>
    <row r="158" spans="15:27" x14ac:dyDescent="0.25">
      <c r="O158" s="4">
        <v>150</v>
      </c>
      <c r="P158" s="4">
        <f t="shared" si="17"/>
        <v>1719</v>
      </c>
      <c r="Q158" s="5">
        <f>'Manager Sheet'!U157</f>
        <v>509</v>
      </c>
      <c r="R158" s="5">
        <f t="shared" si="12"/>
        <v>509</v>
      </c>
      <c r="S158" s="5">
        <f t="shared" si="13"/>
        <v>0</v>
      </c>
      <c r="T158" s="5">
        <f t="shared" si="14"/>
        <v>1210</v>
      </c>
      <c r="U158" s="42">
        <f>T158*'Constants Sheet'!$E$13</f>
        <v>99.452054794520549</v>
      </c>
      <c r="V158" s="40">
        <f>IF(T158&lt;'Manager Sheet'!$E$11,'Manager Sheet'!$E$14,0)</f>
        <v>0</v>
      </c>
      <c r="W158" s="45">
        <f>IFERROR(VLOOKUP(V158,'Constants Sheet'!$H$11:$J$14,3,TRUE),0)</f>
        <v>0</v>
      </c>
      <c r="Y158" s="15">
        <f t="shared" si="15"/>
        <v>1210</v>
      </c>
      <c r="Z158">
        <f t="shared" si="16"/>
        <v>509</v>
      </c>
      <c r="AA158" s="16">
        <f>IF('Calculation Sheet'!$D$11,'Manager Sheet'!$E$11,NA())</f>
        <v>200</v>
      </c>
    </row>
    <row r="159" spans="15:27" x14ac:dyDescent="0.25">
      <c r="O159" s="4">
        <v>151</v>
      </c>
      <c r="P159" s="4">
        <f t="shared" si="17"/>
        <v>1210</v>
      </c>
      <c r="Q159" s="5">
        <f>'Manager Sheet'!U158</f>
        <v>423</v>
      </c>
      <c r="R159" s="5">
        <f t="shared" si="12"/>
        <v>423</v>
      </c>
      <c r="S159" s="5">
        <f t="shared" si="13"/>
        <v>0</v>
      </c>
      <c r="T159" s="5">
        <f t="shared" si="14"/>
        <v>787</v>
      </c>
      <c r="U159" s="42">
        <f>T159*'Constants Sheet'!$E$13</f>
        <v>64.68493150684931</v>
      </c>
      <c r="V159" s="40">
        <f>IF(T159&lt;'Manager Sheet'!$E$11,'Manager Sheet'!$E$14,0)</f>
        <v>0</v>
      </c>
      <c r="W159" s="45">
        <f>IFERROR(VLOOKUP(V159,'Constants Sheet'!$H$11:$J$14,3,TRUE),0)</f>
        <v>0</v>
      </c>
      <c r="Y159" s="15">
        <f t="shared" si="15"/>
        <v>787</v>
      </c>
      <c r="Z159">
        <f t="shared" si="16"/>
        <v>423</v>
      </c>
      <c r="AA159" s="16">
        <f>IF('Calculation Sheet'!$D$11,'Manager Sheet'!$E$11,NA())</f>
        <v>200</v>
      </c>
    </row>
    <row r="160" spans="15:27" x14ac:dyDescent="0.25">
      <c r="O160" s="4">
        <v>152</v>
      </c>
      <c r="P160" s="4">
        <f t="shared" si="17"/>
        <v>787</v>
      </c>
      <c r="Q160" s="5">
        <f>'Manager Sheet'!U159</f>
        <v>724</v>
      </c>
      <c r="R160" s="5">
        <f t="shared" si="12"/>
        <v>724</v>
      </c>
      <c r="S160" s="5">
        <f t="shared" si="13"/>
        <v>0</v>
      </c>
      <c r="T160" s="5">
        <f t="shared" si="14"/>
        <v>63</v>
      </c>
      <c r="U160" s="42">
        <f>T160*'Constants Sheet'!$E$13</f>
        <v>5.1780821917808213</v>
      </c>
      <c r="V160" s="40">
        <f>IF(T160&lt;'Manager Sheet'!$E$11,'Manager Sheet'!$E$14,0)</f>
        <v>5000</v>
      </c>
      <c r="W160" s="45">
        <f>IFERROR(VLOOKUP(V160,'Constants Sheet'!$H$11:$J$14,3,TRUE),0)</f>
        <v>175</v>
      </c>
      <c r="Y160" s="15">
        <f t="shared" si="15"/>
        <v>63</v>
      </c>
      <c r="Z160">
        <f t="shared" si="16"/>
        <v>724</v>
      </c>
      <c r="AA160" s="16">
        <f>IF('Calculation Sheet'!$D$11,'Manager Sheet'!$E$11,NA())</f>
        <v>200</v>
      </c>
    </row>
    <row r="161" spans="15:27" x14ac:dyDescent="0.25">
      <c r="O161" s="4">
        <v>153</v>
      </c>
      <c r="P161" s="4">
        <f t="shared" si="17"/>
        <v>5063</v>
      </c>
      <c r="Q161" s="5">
        <f>'Manager Sheet'!U160</f>
        <v>580</v>
      </c>
      <c r="R161" s="5">
        <f t="shared" si="12"/>
        <v>580</v>
      </c>
      <c r="S161" s="5">
        <f t="shared" si="13"/>
        <v>0</v>
      </c>
      <c r="T161" s="5">
        <f t="shared" si="14"/>
        <v>4483</v>
      </c>
      <c r="U161" s="42">
        <f>T161*'Constants Sheet'!$E$13</f>
        <v>368.46575342465752</v>
      </c>
      <c r="V161" s="40">
        <f>IF(T161&lt;'Manager Sheet'!$E$11,'Manager Sheet'!$E$14,0)</f>
        <v>0</v>
      </c>
      <c r="W161" s="45">
        <f>IFERROR(VLOOKUP(V161,'Constants Sheet'!$H$11:$J$14,3,TRUE),0)</f>
        <v>0</v>
      </c>
      <c r="Y161" s="15">
        <f t="shared" si="15"/>
        <v>4483</v>
      </c>
      <c r="Z161">
        <f t="shared" si="16"/>
        <v>580</v>
      </c>
      <c r="AA161" s="16">
        <f>IF('Calculation Sheet'!$D$11,'Manager Sheet'!$E$11,NA())</f>
        <v>200</v>
      </c>
    </row>
    <row r="162" spans="15:27" x14ac:dyDescent="0.25">
      <c r="O162" s="4">
        <v>154</v>
      </c>
      <c r="P162" s="4">
        <f t="shared" si="17"/>
        <v>4483</v>
      </c>
      <c r="Q162" s="5">
        <f>'Manager Sheet'!U161</f>
        <v>247</v>
      </c>
      <c r="R162" s="5">
        <f t="shared" si="12"/>
        <v>247</v>
      </c>
      <c r="S162" s="5">
        <f t="shared" si="13"/>
        <v>0</v>
      </c>
      <c r="T162" s="5">
        <f t="shared" si="14"/>
        <v>4236</v>
      </c>
      <c r="U162" s="42">
        <f>T162*'Constants Sheet'!$E$13</f>
        <v>348.16438356164383</v>
      </c>
      <c r="V162" s="40">
        <f>IF(T162&lt;'Manager Sheet'!$E$11,'Manager Sheet'!$E$14,0)</f>
        <v>0</v>
      </c>
      <c r="W162" s="45">
        <f>IFERROR(VLOOKUP(V162,'Constants Sheet'!$H$11:$J$14,3,TRUE),0)</f>
        <v>0</v>
      </c>
      <c r="Y162" s="15">
        <f t="shared" si="15"/>
        <v>4236</v>
      </c>
      <c r="Z162">
        <f t="shared" si="16"/>
        <v>247</v>
      </c>
      <c r="AA162" s="16">
        <f>IF('Calculation Sheet'!$D$11,'Manager Sheet'!$E$11,NA())</f>
        <v>200</v>
      </c>
    </row>
    <row r="163" spans="15:27" x14ac:dyDescent="0.25">
      <c r="O163" s="4">
        <v>155</v>
      </c>
      <c r="P163" s="4">
        <f t="shared" si="17"/>
        <v>4236</v>
      </c>
      <c r="Q163" s="5">
        <f>'Manager Sheet'!U162</f>
        <v>642</v>
      </c>
      <c r="R163" s="5">
        <f t="shared" si="12"/>
        <v>642</v>
      </c>
      <c r="S163" s="5">
        <f t="shared" si="13"/>
        <v>0</v>
      </c>
      <c r="T163" s="5">
        <f t="shared" si="14"/>
        <v>3594</v>
      </c>
      <c r="U163" s="42">
        <f>T163*'Constants Sheet'!$E$13</f>
        <v>295.39726027397256</v>
      </c>
      <c r="V163" s="40">
        <f>IF(T163&lt;'Manager Sheet'!$E$11,'Manager Sheet'!$E$14,0)</f>
        <v>0</v>
      </c>
      <c r="W163" s="45">
        <f>IFERROR(VLOOKUP(V163,'Constants Sheet'!$H$11:$J$14,3,TRUE),0)</f>
        <v>0</v>
      </c>
      <c r="Y163" s="15">
        <f t="shared" si="15"/>
        <v>3594</v>
      </c>
      <c r="Z163">
        <f t="shared" si="16"/>
        <v>642</v>
      </c>
      <c r="AA163" s="16">
        <f>IF('Calculation Sheet'!$D$11,'Manager Sheet'!$E$11,NA())</f>
        <v>200</v>
      </c>
    </row>
    <row r="164" spans="15:27" x14ac:dyDescent="0.25">
      <c r="O164" s="4">
        <v>156</v>
      </c>
      <c r="P164" s="4">
        <f t="shared" si="17"/>
        <v>3594</v>
      </c>
      <c r="Q164" s="5">
        <f>'Manager Sheet'!U163</f>
        <v>528</v>
      </c>
      <c r="R164" s="5">
        <f t="shared" si="12"/>
        <v>528</v>
      </c>
      <c r="S164" s="5">
        <f t="shared" si="13"/>
        <v>0</v>
      </c>
      <c r="T164" s="5">
        <f t="shared" si="14"/>
        <v>3066</v>
      </c>
      <c r="U164" s="42">
        <f>T164*'Constants Sheet'!$E$13</f>
        <v>252</v>
      </c>
      <c r="V164" s="40">
        <f>IF(T164&lt;'Manager Sheet'!$E$11,'Manager Sheet'!$E$14,0)</f>
        <v>0</v>
      </c>
      <c r="W164" s="45">
        <f>IFERROR(VLOOKUP(V164,'Constants Sheet'!$H$11:$J$14,3,TRUE),0)</f>
        <v>0</v>
      </c>
      <c r="Y164" s="15">
        <f t="shared" si="15"/>
        <v>3066</v>
      </c>
      <c r="Z164">
        <f t="shared" si="16"/>
        <v>528</v>
      </c>
      <c r="AA164" s="16">
        <f>IF('Calculation Sheet'!$D$11,'Manager Sheet'!$E$11,NA())</f>
        <v>200</v>
      </c>
    </row>
    <row r="165" spans="15:27" x14ac:dyDescent="0.25">
      <c r="O165" s="4">
        <v>157</v>
      </c>
      <c r="P165" s="4">
        <f t="shared" si="17"/>
        <v>3066</v>
      </c>
      <c r="Q165" s="5">
        <f>'Manager Sheet'!U164</f>
        <v>596</v>
      </c>
      <c r="R165" s="5">
        <f t="shared" si="12"/>
        <v>596</v>
      </c>
      <c r="S165" s="5">
        <f t="shared" si="13"/>
        <v>0</v>
      </c>
      <c r="T165" s="5">
        <f t="shared" si="14"/>
        <v>2470</v>
      </c>
      <c r="U165" s="42">
        <f>T165*'Constants Sheet'!$E$13</f>
        <v>203.01369863013699</v>
      </c>
      <c r="V165" s="40">
        <f>IF(T165&lt;'Manager Sheet'!$E$11,'Manager Sheet'!$E$14,0)</f>
        <v>0</v>
      </c>
      <c r="W165" s="45">
        <f>IFERROR(VLOOKUP(V165,'Constants Sheet'!$H$11:$J$14,3,TRUE),0)</f>
        <v>0</v>
      </c>
      <c r="Y165" s="15">
        <f t="shared" si="15"/>
        <v>2470</v>
      </c>
      <c r="Z165">
        <f t="shared" si="16"/>
        <v>596</v>
      </c>
      <c r="AA165" s="16">
        <f>IF('Calculation Sheet'!$D$11,'Manager Sheet'!$E$11,NA())</f>
        <v>200</v>
      </c>
    </row>
    <row r="166" spans="15:27" x14ac:dyDescent="0.25">
      <c r="O166" s="4">
        <v>158</v>
      </c>
      <c r="P166" s="4">
        <f t="shared" si="17"/>
        <v>2470</v>
      </c>
      <c r="Q166" s="5">
        <f>'Manager Sheet'!U165</f>
        <v>549</v>
      </c>
      <c r="R166" s="5">
        <f t="shared" si="12"/>
        <v>549</v>
      </c>
      <c r="S166" s="5">
        <f t="shared" si="13"/>
        <v>0</v>
      </c>
      <c r="T166" s="5">
        <f t="shared" si="14"/>
        <v>1921</v>
      </c>
      <c r="U166" s="42">
        <f>T166*'Constants Sheet'!$E$13</f>
        <v>157.89041095890411</v>
      </c>
      <c r="V166" s="40">
        <f>IF(T166&lt;'Manager Sheet'!$E$11,'Manager Sheet'!$E$14,0)</f>
        <v>0</v>
      </c>
      <c r="W166" s="45">
        <f>IFERROR(VLOOKUP(V166,'Constants Sheet'!$H$11:$J$14,3,TRUE),0)</f>
        <v>0</v>
      </c>
      <c r="Y166" s="15">
        <f t="shared" si="15"/>
        <v>1921</v>
      </c>
      <c r="Z166">
        <f t="shared" si="16"/>
        <v>549</v>
      </c>
      <c r="AA166" s="16">
        <f>IF('Calculation Sheet'!$D$11,'Manager Sheet'!$E$11,NA())</f>
        <v>200</v>
      </c>
    </row>
    <row r="167" spans="15:27" x14ac:dyDescent="0.25">
      <c r="O167" s="4">
        <v>159</v>
      </c>
      <c r="P167" s="4">
        <f t="shared" si="17"/>
        <v>1921</v>
      </c>
      <c r="Q167" s="5">
        <f>'Manager Sheet'!U166</f>
        <v>329</v>
      </c>
      <c r="R167" s="5">
        <f t="shared" si="12"/>
        <v>329</v>
      </c>
      <c r="S167" s="5">
        <f t="shared" si="13"/>
        <v>0</v>
      </c>
      <c r="T167" s="5">
        <f t="shared" si="14"/>
        <v>1592</v>
      </c>
      <c r="U167" s="42">
        <f>T167*'Constants Sheet'!$E$13</f>
        <v>130.84931506849315</v>
      </c>
      <c r="V167" s="40">
        <f>IF(T167&lt;'Manager Sheet'!$E$11,'Manager Sheet'!$E$14,0)</f>
        <v>0</v>
      </c>
      <c r="W167" s="45">
        <f>IFERROR(VLOOKUP(V167,'Constants Sheet'!$H$11:$J$14,3,TRUE),0)</f>
        <v>0</v>
      </c>
      <c r="Y167" s="15">
        <f t="shared" si="15"/>
        <v>1592</v>
      </c>
      <c r="Z167">
        <f t="shared" si="16"/>
        <v>329</v>
      </c>
      <c r="AA167" s="16">
        <f>IF('Calculation Sheet'!$D$11,'Manager Sheet'!$E$11,NA())</f>
        <v>200</v>
      </c>
    </row>
    <row r="168" spans="15:27" x14ac:dyDescent="0.25">
      <c r="O168" s="4">
        <v>160</v>
      </c>
      <c r="P168" s="4">
        <f t="shared" si="17"/>
        <v>1592</v>
      </c>
      <c r="Q168" s="5">
        <f>'Manager Sheet'!U167</f>
        <v>691</v>
      </c>
      <c r="R168" s="5">
        <f t="shared" si="12"/>
        <v>691</v>
      </c>
      <c r="S168" s="5">
        <f t="shared" si="13"/>
        <v>0</v>
      </c>
      <c r="T168" s="5">
        <f t="shared" si="14"/>
        <v>901</v>
      </c>
      <c r="U168" s="42">
        <f>T168*'Constants Sheet'!$E$13</f>
        <v>74.054794520547944</v>
      </c>
      <c r="V168" s="40">
        <f>IF(T168&lt;'Manager Sheet'!$E$11,'Manager Sheet'!$E$14,0)</f>
        <v>0</v>
      </c>
      <c r="W168" s="45">
        <f>IFERROR(VLOOKUP(V168,'Constants Sheet'!$H$11:$J$14,3,TRUE),0)</f>
        <v>0</v>
      </c>
      <c r="Y168" s="15">
        <f t="shared" si="15"/>
        <v>901</v>
      </c>
      <c r="Z168">
        <f t="shared" si="16"/>
        <v>691</v>
      </c>
      <c r="AA168" s="16">
        <f>IF('Calculation Sheet'!$D$11,'Manager Sheet'!$E$11,NA())</f>
        <v>200</v>
      </c>
    </row>
    <row r="169" spans="15:27" x14ac:dyDescent="0.25">
      <c r="O169" s="4">
        <v>161</v>
      </c>
      <c r="P169" s="4">
        <f t="shared" si="17"/>
        <v>901</v>
      </c>
      <c r="Q169" s="5">
        <f>'Manager Sheet'!U168</f>
        <v>490</v>
      </c>
      <c r="R169" s="5">
        <f t="shared" si="12"/>
        <v>490</v>
      </c>
      <c r="S169" s="5">
        <f t="shared" si="13"/>
        <v>0</v>
      </c>
      <c r="T169" s="5">
        <f t="shared" si="14"/>
        <v>411</v>
      </c>
      <c r="U169" s="42">
        <f>T169*'Constants Sheet'!$E$13</f>
        <v>33.780821917808218</v>
      </c>
      <c r="V169" s="40">
        <f>IF(T169&lt;'Manager Sheet'!$E$11,'Manager Sheet'!$E$14,0)</f>
        <v>0</v>
      </c>
      <c r="W169" s="45">
        <f>IFERROR(VLOOKUP(V169,'Constants Sheet'!$H$11:$J$14,3,TRUE),0)</f>
        <v>0</v>
      </c>
      <c r="Y169" s="15">
        <f t="shared" si="15"/>
        <v>411</v>
      </c>
      <c r="Z169">
        <f t="shared" si="16"/>
        <v>490</v>
      </c>
      <c r="AA169" s="16">
        <f>IF('Calculation Sheet'!$D$11,'Manager Sheet'!$E$11,NA())</f>
        <v>200</v>
      </c>
    </row>
    <row r="170" spans="15:27" x14ac:dyDescent="0.25">
      <c r="O170" s="4">
        <v>162</v>
      </c>
      <c r="P170" s="4">
        <f t="shared" si="17"/>
        <v>411</v>
      </c>
      <c r="Q170" s="5">
        <f>'Manager Sheet'!U169</f>
        <v>433</v>
      </c>
      <c r="R170" s="5">
        <f t="shared" si="12"/>
        <v>411</v>
      </c>
      <c r="S170" s="5">
        <f t="shared" si="13"/>
        <v>22</v>
      </c>
      <c r="T170" s="5">
        <f t="shared" si="14"/>
        <v>0</v>
      </c>
      <c r="U170" s="42">
        <f>T170*'Constants Sheet'!$E$13</f>
        <v>0</v>
      </c>
      <c r="V170" s="40">
        <f>IF(T170&lt;'Manager Sheet'!$E$11,'Manager Sheet'!$E$14,0)</f>
        <v>5000</v>
      </c>
      <c r="W170" s="45">
        <f>IFERROR(VLOOKUP(V170,'Constants Sheet'!$H$11:$J$14,3,TRUE),0)</f>
        <v>175</v>
      </c>
      <c r="Y170" s="15">
        <f t="shared" si="15"/>
        <v>0</v>
      </c>
      <c r="Z170">
        <f t="shared" si="16"/>
        <v>433</v>
      </c>
      <c r="AA170" s="16">
        <f>IF('Calculation Sheet'!$D$11,'Manager Sheet'!$E$11,NA())</f>
        <v>200</v>
      </c>
    </row>
    <row r="171" spans="15:27" x14ac:dyDescent="0.25">
      <c r="O171" s="4">
        <v>163</v>
      </c>
      <c r="P171" s="4">
        <f t="shared" si="17"/>
        <v>5000</v>
      </c>
      <c r="Q171" s="5">
        <f>'Manager Sheet'!U170</f>
        <v>516</v>
      </c>
      <c r="R171" s="5">
        <f t="shared" si="12"/>
        <v>516</v>
      </c>
      <c r="S171" s="5">
        <f t="shared" si="13"/>
        <v>0</v>
      </c>
      <c r="T171" s="5">
        <f t="shared" si="14"/>
        <v>4484</v>
      </c>
      <c r="U171" s="42">
        <f>T171*'Constants Sheet'!$E$13</f>
        <v>368.54794520547944</v>
      </c>
      <c r="V171" s="40">
        <f>IF(T171&lt;'Manager Sheet'!$E$11,'Manager Sheet'!$E$14,0)</f>
        <v>0</v>
      </c>
      <c r="W171" s="45">
        <f>IFERROR(VLOOKUP(V171,'Constants Sheet'!$H$11:$J$14,3,TRUE),0)</f>
        <v>0</v>
      </c>
      <c r="Y171" s="15">
        <f t="shared" si="15"/>
        <v>4484</v>
      </c>
      <c r="Z171">
        <f t="shared" si="16"/>
        <v>516</v>
      </c>
      <c r="AA171" s="16">
        <f>IF('Calculation Sheet'!$D$11,'Manager Sheet'!$E$11,NA())</f>
        <v>200</v>
      </c>
    </row>
    <row r="172" spans="15:27" x14ac:dyDescent="0.25">
      <c r="O172" s="4">
        <v>164</v>
      </c>
      <c r="P172" s="4">
        <f t="shared" si="17"/>
        <v>4484</v>
      </c>
      <c r="Q172" s="5">
        <f>'Manager Sheet'!U171</f>
        <v>688</v>
      </c>
      <c r="R172" s="5">
        <f t="shared" si="12"/>
        <v>688</v>
      </c>
      <c r="S172" s="5">
        <f t="shared" si="13"/>
        <v>0</v>
      </c>
      <c r="T172" s="5">
        <f t="shared" si="14"/>
        <v>3796</v>
      </c>
      <c r="U172" s="42">
        <f>T172*'Constants Sheet'!$E$13</f>
        <v>312</v>
      </c>
      <c r="V172" s="40">
        <f>IF(T172&lt;'Manager Sheet'!$E$11,'Manager Sheet'!$E$14,0)</f>
        <v>0</v>
      </c>
      <c r="W172" s="45">
        <f>IFERROR(VLOOKUP(V172,'Constants Sheet'!$H$11:$J$14,3,TRUE),0)</f>
        <v>0</v>
      </c>
      <c r="Y172" s="15">
        <f t="shared" si="15"/>
        <v>3796</v>
      </c>
      <c r="Z172">
        <f t="shared" si="16"/>
        <v>688</v>
      </c>
      <c r="AA172" s="16">
        <f>IF('Calculation Sheet'!$D$11,'Manager Sheet'!$E$11,NA())</f>
        <v>200</v>
      </c>
    </row>
    <row r="173" spans="15:27" x14ac:dyDescent="0.25">
      <c r="O173" s="4">
        <v>165</v>
      </c>
      <c r="P173" s="4">
        <f t="shared" si="17"/>
        <v>3796</v>
      </c>
      <c r="Q173" s="5">
        <f>'Manager Sheet'!U172</f>
        <v>513</v>
      </c>
      <c r="R173" s="5">
        <f t="shared" si="12"/>
        <v>513</v>
      </c>
      <c r="S173" s="5">
        <f t="shared" si="13"/>
        <v>0</v>
      </c>
      <c r="T173" s="5">
        <f t="shared" si="14"/>
        <v>3283</v>
      </c>
      <c r="U173" s="42">
        <f>T173*'Constants Sheet'!$E$13</f>
        <v>269.83561643835617</v>
      </c>
      <c r="V173" s="40">
        <f>IF(T173&lt;'Manager Sheet'!$E$11,'Manager Sheet'!$E$14,0)</f>
        <v>0</v>
      </c>
      <c r="W173" s="45">
        <f>IFERROR(VLOOKUP(V173,'Constants Sheet'!$H$11:$J$14,3,TRUE),0)</f>
        <v>0</v>
      </c>
      <c r="Y173" s="15">
        <f t="shared" si="15"/>
        <v>3283</v>
      </c>
      <c r="Z173">
        <f t="shared" si="16"/>
        <v>513</v>
      </c>
      <c r="AA173" s="16">
        <f>IF('Calculation Sheet'!$D$11,'Manager Sheet'!$E$11,NA())</f>
        <v>200</v>
      </c>
    </row>
    <row r="174" spans="15:27" x14ac:dyDescent="0.25">
      <c r="O174" s="4">
        <v>166</v>
      </c>
      <c r="P174" s="4">
        <f t="shared" si="17"/>
        <v>3283</v>
      </c>
      <c r="Q174" s="5">
        <f>'Manager Sheet'!U173</f>
        <v>385</v>
      </c>
      <c r="R174" s="5">
        <f t="shared" si="12"/>
        <v>385</v>
      </c>
      <c r="S174" s="5">
        <f t="shared" si="13"/>
        <v>0</v>
      </c>
      <c r="T174" s="5">
        <f t="shared" si="14"/>
        <v>2898</v>
      </c>
      <c r="U174" s="42">
        <f>T174*'Constants Sheet'!$E$13</f>
        <v>238.1917808219178</v>
      </c>
      <c r="V174" s="40">
        <f>IF(T174&lt;'Manager Sheet'!$E$11,'Manager Sheet'!$E$14,0)</f>
        <v>0</v>
      </c>
      <c r="W174" s="45">
        <f>IFERROR(VLOOKUP(V174,'Constants Sheet'!$H$11:$J$14,3,TRUE),0)</f>
        <v>0</v>
      </c>
      <c r="Y174" s="15">
        <f t="shared" si="15"/>
        <v>2898</v>
      </c>
      <c r="Z174">
        <f t="shared" si="16"/>
        <v>385</v>
      </c>
      <c r="AA174" s="16">
        <f>IF('Calculation Sheet'!$D$11,'Manager Sheet'!$E$11,NA())</f>
        <v>200</v>
      </c>
    </row>
    <row r="175" spans="15:27" x14ac:dyDescent="0.25">
      <c r="O175" s="4">
        <v>167</v>
      </c>
      <c r="P175" s="4">
        <f t="shared" si="17"/>
        <v>2898</v>
      </c>
      <c r="Q175" s="5">
        <f>'Manager Sheet'!U174</f>
        <v>351</v>
      </c>
      <c r="R175" s="5">
        <f t="shared" si="12"/>
        <v>351</v>
      </c>
      <c r="S175" s="5">
        <f t="shared" si="13"/>
        <v>0</v>
      </c>
      <c r="T175" s="5">
        <f t="shared" si="14"/>
        <v>2547</v>
      </c>
      <c r="U175" s="42">
        <f>T175*'Constants Sheet'!$E$13</f>
        <v>209.34246575342465</v>
      </c>
      <c r="V175" s="40">
        <f>IF(T175&lt;'Manager Sheet'!$E$11,'Manager Sheet'!$E$14,0)</f>
        <v>0</v>
      </c>
      <c r="W175" s="45">
        <f>IFERROR(VLOOKUP(V175,'Constants Sheet'!$H$11:$J$14,3,TRUE),0)</f>
        <v>0</v>
      </c>
      <c r="Y175" s="15">
        <f t="shared" si="15"/>
        <v>2547</v>
      </c>
      <c r="Z175">
        <f t="shared" si="16"/>
        <v>351</v>
      </c>
      <c r="AA175" s="16">
        <f>IF('Calculation Sheet'!$D$11,'Manager Sheet'!$E$11,NA())</f>
        <v>200</v>
      </c>
    </row>
    <row r="176" spans="15:27" x14ac:dyDescent="0.25">
      <c r="O176" s="4">
        <v>168</v>
      </c>
      <c r="P176" s="4">
        <f t="shared" si="17"/>
        <v>2547</v>
      </c>
      <c r="Q176" s="5">
        <f>'Manager Sheet'!U175</f>
        <v>494</v>
      </c>
      <c r="R176" s="5">
        <f t="shared" si="12"/>
        <v>494</v>
      </c>
      <c r="S176" s="5">
        <f t="shared" si="13"/>
        <v>0</v>
      </c>
      <c r="T176" s="5">
        <f t="shared" si="14"/>
        <v>2053</v>
      </c>
      <c r="U176" s="42">
        <f>T176*'Constants Sheet'!$E$13</f>
        <v>168.73972602739724</v>
      </c>
      <c r="V176" s="40">
        <f>IF(T176&lt;'Manager Sheet'!$E$11,'Manager Sheet'!$E$14,0)</f>
        <v>0</v>
      </c>
      <c r="W176" s="45">
        <f>IFERROR(VLOOKUP(V176,'Constants Sheet'!$H$11:$J$14,3,TRUE),0)</f>
        <v>0</v>
      </c>
      <c r="Y176" s="15">
        <f t="shared" si="15"/>
        <v>2053</v>
      </c>
      <c r="Z176">
        <f t="shared" si="16"/>
        <v>494</v>
      </c>
      <c r="AA176" s="16">
        <f>IF('Calculation Sheet'!$D$11,'Manager Sheet'!$E$11,NA())</f>
        <v>200</v>
      </c>
    </row>
    <row r="177" spans="15:27" x14ac:dyDescent="0.25">
      <c r="O177" s="4">
        <v>169</v>
      </c>
      <c r="P177" s="4">
        <f t="shared" si="17"/>
        <v>2053</v>
      </c>
      <c r="Q177" s="5">
        <f>'Manager Sheet'!U176</f>
        <v>567</v>
      </c>
      <c r="R177" s="5">
        <f t="shared" si="12"/>
        <v>567</v>
      </c>
      <c r="S177" s="5">
        <f t="shared" si="13"/>
        <v>0</v>
      </c>
      <c r="T177" s="5">
        <f t="shared" si="14"/>
        <v>1486</v>
      </c>
      <c r="U177" s="42">
        <f>T177*'Constants Sheet'!$E$13</f>
        <v>122.13698630136986</v>
      </c>
      <c r="V177" s="40">
        <f>IF(T177&lt;'Manager Sheet'!$E$11,'Manager Sheet'!$E$14,0)</f>
        <v>0</v>
      </c>
      <c r="W177" s="45">
        <f>IFERROR(VLOOKUP(V177,'Constants Sheet'!$H$11:$J$14,3,TRUE),0)</f>
        <v>0</v>
      </c>
      <c r="Y177" s="15">
        <f t="shared" si="15"/>
        <v>1486</v>
      </c>
      <c r="Z177">
        <f t="shared" si="16"/>
        <v>567</v>
      </c>
      <c r="AA177" s="16">
        <f>IF('Calculation Sheet'!$D$11,'Manager Sheet'!$E$11,NA())</f>
        <v>200</v>
      </c>
    </row>
    <row r="178" spans="15:27" x14ac:dyDescent="0.25">
      <c r="O178" s="4">
        <v>170</v>
      </c>
      <c r="P178" s="4">
        <f t="shared" si="17"/>
        <v>1486</v>
      </c>
      <c r="Q178" s="5">
        <f>'Manager Sheet'!U177</f>
        <v>428</v>
      </c>
      <c r="R178" s="5">
        <f t="shared" si="12"/>
        <v>428</v>
      </c>
      <c r="S178" s="5">
        <f t="shared" si="13"/>
        <v>0</v>
      </c>
      <c r="T178" s="5">
        <f t="shared" si="14"/>
        <v>1058</v>
      </c>
      <c r="U178" s="42">
        <f>T178*'Constants Sheet'!$E$13</f>
        <v>86.958904109589042</v>
      </c>
      <c r="V178" s="40">
        <f>IF(T178&lt;'Manager Sheet'!$E$11,'Manager Sheet'!$E$14,0)</f>
        <v>0</v>
      </c>
      <c r="W178" s="45">
        <f>IFERROR(VLOOKUP(V178,'Constants Sheet'!$H$11:$J$14,3,TRUE),0)</f>
        <v>0</v>
      </c>
      <c r="Y178" s="15">
        <f t="shared" si="15"/>
        <v>1058</v>
      </c>
      <c r="Z178">
        <f t="shared" si="16"/>
        <v>428</v>
      </c>
      <c r="AA178" s="16">
        <f>IF('Calculation Sheet'!$D$11,'Manager Sheet'!$E$11,NA())</f>
        <v>200</v>
      </c>
    </row>
    <row r="179" spans="15:27" x14ac:dyDescent="0.25">
      <c r="O179" s="4">
        <v>171</v>
      </c>
      <c r="P179" s="4">
        <f t="shared" si="17"/>
        <v>1058</v>
      </c>
      <c r="Q179" s="5">
        <f>'Manager Sheet'!U178</f>
        <v>442</v>
      </c>
      <c r="R179" s="5">
        <f t="shared" si="12"/>
        <v>442</v>
      </c>
      <c r="S179" s="5">
        <f t="shared" si="13"/>
        <v>0</v>
      </c>
      <c r="T179" s="5">
        <f t="shared" si="14"/>
        <v>616</v>
      </c>
      <c r="U179" s="42">
        <f>T179*'Constants Sheet'!$E$13</f>
        <v>50.630136986301366</v>
      </c>
      <c r="V179" s="40">
        <f>IF(T179&lt;'Manager Sheet'!$E$11,'Manager Sheet'!$E$14,0)</f>
        <v>0</v>
      </c>
      <c r="W179" s="45">
        <f>IFERROR(VLOOKUP(V179,'Constants Sheet'!$H$11:$J$14,3,TRUE),0)</f>
        <v>0</v>
      </c>
      <c r="Y179" s="15">
        <f t="shared" si="15"/>
        <v>616</v>
      </c>
      <c r="Z179">
        <f t="shared" si="16"/>
        <v>442</v>
      </c>
      <c r="AA179" s="16">
        <f>IF('Calculation Sheet'!$D$11,'Manager Sheet'!$E$11,NA())</f>
        <v>200</v>
      </c>
    </row>
    <row r="180" spans="15:27" x14ac:dyDescent="0.25">
      <c r="O180" s="4">
        <v>172</v>
      </c>
      <c r="P180" s="4">
        <f t="shared" si="17"/>
        <v>616</v>
      </c>
      <c r="Q180" s="5">
        <f>'Manager Sheet'!U179</f>
        <v>393</v>
      </c>
      <c r="R180" s="5">
        <f t="shared" si="12"/>
        <v>393</v>
      </c>
      <c r="S180" s="5">
        <f t="shared" si="13"/>
        <v>0</v>
      </c>
      <c r="T180" s="5">
        <f t="shared" si="14"/>
        <v>223</v>
      </c>
      <c r="U180" s="42">
        <f>T180*'Constants Sheet'!$E$13</f>
        <v>18.328767123287669</v>
      </c>
      <c r="V180" s="40">
        <f>IF(T180&lt;'Manager Sheet'!$E$11,'Manager Sheet'!$E$14,0)</f>
        <v>0</v>
      </c>
      <c r="W180" s="45">
        <f>IFERROR(VLOOKUP(V180,'Constants Sheet'!$H$11:$J$14,3,TRUE),0)</f>
        <v>0</v>
      </c>
      <c r="Y180" s="15">
        <f t="shared" si="15"/>
        <v>223</v>
      </c>
      <c r="Z180">
        <f t="shared" si="16"/>
        <v>393</v>
      </c>
      <c r="AA180" s="16">
        <f>IF('Calculation Sheet'!$D$11,'Manager Sheet'!$E$11,NA())</f>
        <v>200</v>
      </c>
    </row>
    <row r="181" spans="15:27" x14ac:dyDescent="0.25">
      <c r="O181" s="4">
        <v>173</v>
      </c>
      <c r="P181" s="4">
        <f t="shared" si="17"/>
        <v>223</v>
      </c>
      <c r="Q181" s="5">
        <f>'Manager Sheet'!U180</f>
        <v>366</v>
      </c>
      <c r="R181" s="5">
        <f t="shared" si="12"/>
        <v>223</v>
      </c>
      <c r="S181" s="5">
        <f t="shared" si="13"/>
        <v>143</v>
      </c>
      <c r="T181" s="5">
        <f t="shared" si="14"/>
        <v>0</v>
      </c>
      <c r="U181" s="42">
        <f>T181*'Constants Sheet'!$E$13</f>
        <v>0</v>
      </c>
      <c r="V181" s="40">
        <f>IF(T181&lt;'Manager Sheet'!$E$11,'Manager Sheet'!$E$14,0)</f>
        <v>5000</v>
      </c>
      <c r="W181" s="45">
        <f>IFERROR(VLOOKUP(V181,'Constants Sheet'!$H$11:$J$14,3,TRUE),0)</f>
        <v>175</v>
      </c>
      <c r="Y181" s="15">
        <f t="shared" si="15"/>
        <v>0</v>
      </c>
      <c r="Z181">
        <f t="shared" si="16"/>
        <v>366</v>
      </c>
      <c r="AA181" s="16">
        <f>IF('Calculation Sheet'!$D$11,'Manager Sheet'!$E$11,NA())</f>
        <v>200</v>
      </c>
    </row>
    <row r="182" spans="15:27" x14ac:dyDescent="0.25">
      <c r="O182" s="4">
        <v>174</v>
      </c>
      <c r="P182" s="4">
        <f t="shared" si="17"/>
        <v>5000</v>
      </c>
      <c r="Q182" s="5">
        <f>'Manager Sheet'!U181</f>
        <v>315</v>
      </c>
      <c r="R182" s="5">
        <f t="shared" si="12"/>
        <v>315</v>
      </c>
      <c r="S182" s="5">
        <f t="shared" si="13"/>
        <v>0</v>
      </c>
      <c r="T182" s="5">
        <f t="shared" si="14"/>
        <v>4685</v>
      </c>
      <c r="U182" s="42">
        <f>T182*'Constants Sheet'!$E$13</f>
        <v>385.0684931506849</v>
      </c>
      <c r="V182" s="40">
        <f>IF(T182&lt;'Manager Sheet'!$E$11,'Manager Sheet'!$E$14,0)</f>
        <v>0</v>
      </c>
      <c r="W182" s="45">
        <f>IFERROR(VLOOKUP(V182,'Constants Sheet'!$H$11:$J$14,3,TRUE),0)</f>
        <v>0</v>
      </c>
      <c r="Y182" s="15">
        <f t="shared" si="15"/>
        <v>4685</v>
      </c>
      <c r="Z182">
        <f t="shared" si="16"/>
        <v>315</v>
      </c>
      <c r="AA182" s="16">
        <f>IF('Calculation Sheet'!$D$11,'Manager Sheet'!$E$11,NA())</f>
        <v>200</v>
      </c>
    </row>
    <row r="183" spans="15:27" x14ac:dyDescent="0.25">
      <c r="O183" s="4">
        <v>175</v>
      </c>
      <c r="P183" s="4">
        <f t="shared" si="17"/>
        <v>4685</v>
      </c>
      <c r="Q183" s="5">
        <f>'Manager Sheet'!U182</f>
        <v>397</v>
      </c>
      <c r="R183" s="5">
        <f t="shared" si="12"/>
        <v>397</v>
      </c>
      <c r="S183" s="5">
        <f t="shared" si="13"/>
        <v>0</v>
      </c>
      <c r="T183" s="5">
        <f t="shared" si="14"/>
        <v>4288</v>
      </c>
      <c r="U183" s="42">
        <f>T183*'Constants Sheet'!$E$13</f>
        <v>352.43835616438355</v>
      </c>
      <c r="V183" s="40">
        <f>IF(T183&lt;'Manager Sheet'!$E$11,'Manager Sheet'!$E$14,0)</f>
        <v>0</v>
      </c>
      <c r="W183" s="45">
        <f>IFERROR(VLOOKUP(V183,'Constants Sheet'!$H$11:$J$14,3,TRUE),0)</f>
        <v>0</v>
      </c>
      <c r="Y183" s="15">
        <f t="shared" si="15"/>
        <v>4288</v>
      </c>
      <c r="Z183">
        <f t="shared" si="16"/>
        <v>397</v>
      </c>
      <c r="AA183" s="16">
        <f>IF('Calculation Sheet'!$D$11,'Manager Sheet'!$E$11,NA())</f>
        <v>200</v>
      </c>
    </row>
    <row r="184" spans="15:27" x14ac:dyDescent="0.25">
      <c r="O184" s="4">
        <v>176</v>
      </c>
      <c r="P184" s="4">
        <f t="shared" si="17"/>
        <v>4288</v>
      </c>
      <c r="Q184" s="5">
        <f>'Manager Sheet'!U183</f>
        <v>597</v>
      </c>
      <c r="R184" s="5">
        <f t="shared" si="12"/>
        <v>597</v>
      </c>
      <c r="S184" s="5">
        <f t="shared" si="13"/>
        <v>0</v>
      </c>
      <c r="T184" s="5">
        <f t="shared" si="14"/>
        <v>3691</v>
      </c>
      <c r="U184" s="42">
        <f>T184*'Constants Sheet'!$E$13</f>
        <v>303.36986301369859</v>
      </c>
      <c r="V184" s="40">
        <f>IF(T184&lt;'Manager Sheet'!$E$11,'Manager Sheet'!$E$14,0)</f>
        <v>0</v>
      </c>
      <c r="W184" s="45">
        <f>IFERROR(VLOOKUP(V184,'Constants Sheet'!$H$11:$J$14,3,TRUE),0)</f>
        <v>0</v>
      </c>
      <c r="Y184" s="15">
        <f t="shared" si="15"/>
        <v>3691</v>
      </c>
      <c r="Z184">
        <f t="shared" si="16"/>
        <v>597</v>
      </c>
      <c r="AA184" s="16">
        <f>IF('Calculation Sheet'!$D$11,'Manager Sheet'!$E$11,NA())</f>
        <v>200</v>
      </c>
    </row>
    <row r="185" spans="15:27" x14ac:dyDescent="0.25">
      <c r="O185" s="4">
        <v>177</v>
      </c>
      <c r="P185" s="4">
        <f t="shared" si="17"/>
        <v>3691</v>
      </c>
      <c r="Q185" s="5">
        <f>'Manager Sheet'!U184</f>
        <v>482</v>
      </c>
      <c r="R185" s="5">
        <f t="shared" si="12"/>
        <v>482</v>
      </c>
      <c r="S185" s="5">
        <f t="shared" si="13"/>
        <v>0</v>
      </c>
      <c r="T185" s="5">
        <f t="shared" si="14"/>
        <v>3209</v>
      </c>
      <c r="U185" s="42">
        <f>T185*'Constants Sheet'!$E$13</f>
        <v>263.75342465753425</v>
      </c>
      <c r="V185" s="40">
        <f>IF(T185&lt;'Manager Sheet'!$E$11,'Manager Sheet'!$E$14,0)</f>
        <v>0</v>
      </c>
      <c r="W185" s="45">
        <f>IFERROR(VLOOKUP(V185,'Constants Sheet'!$H$11:$J$14,3,TRUE),0)</f>
        <v>0</v>
      </c>
      <c r="Y185" s="15">
        <f t="shared" si="15"/>
        <v>3209</v>
      </c>
      <c r="Z185">
        <f t="shared" si="16"/>
        <v>482</v>
      </c>
      <c r="AA185" s="16">
        <f>IF('Calculation Sheet'!$D$11,'Manager Sheet'!$E$11,NA())</f>
        <v>200</v>
      </c>
    </row>
    <row r="186" spans="15:27" x14ac:dyDescent="0.25">
      <c r="O186" s="4">
        <v>178</v>
      </c>
      <c r="P186" s="4">
        <f t="shared" si="17"/>
        <v>3209</v>
      </c>
      <c r="Q186" s="5">
        <f>'Manager Sheet'!U185</f>
        <v>470</v>
      </c>
      <c r="R186" s="5">
        <f t="shared" si="12"/>
        <v>470</v>
      </c>
      <c r="S186" s="5">
        <f t="shared" si="13"/>
        <v>0</v>
      </c>
      <c r="T186" s="5">
        <f t="shared" si="14"/>
        <v>2739</v>
      </c>
      <c r="U186" s="42">
        <f>T186*'Constants Sheet'!$E$13</f>
        <v>225.12328767123287</v>
      </c>
      <c r="V186" s="40">
        <f>IF(T186&lt;'Manager Sheet'!$E$11,'Manager Sheet'!$E$14,0)</f>
        <v>0</v>
      </c>
      <c r="W186" s="45">
        <f>IFERROR(VLOOKUP(V186,'Constants Sheet'!$H$11:$J$14,3,TRUE),0)</f>
        <v>0</v>
      </c>
      <c r="Y186" s="15">
        <f t="shared" si="15"/>
        <v>2739</v>
      </c>
      <c r="Z186">
        <f t="shared" si="16"/>
        <v>470</v>
      </c>
      <c r="AA186" s="16">
        <f>IF('Calculation Sheet'!$D$11,'Manager Sheet'!$E$11,NA())</f>
        <v>200</v>
      </c>
    </row>
    <row r="187" spans="15:27" x14ac:dyDescent="0.25">
      <c r="O187" s="4">
        <v>179</v>
      </c>
      <c r="P187" s="4">
        <f t="shared" si="17"/>
        <v>2739</v>
      </c>
      <c r="Q187" s="5">
        <f>'Manager Sheet'!U186</f>
        <v>406</v>
      </c>
      <c r="R187" s="5">
        <f t="shared" si="12"/>
        <v>406</v>
      </c>
      <c r="S187" s="5">
        <f t="shared" si="13"/>
        <v>0</v>
      </c>
      <c r="T187" s="5">
        <f t="shared" si="14"/>
        <v>2333</v>
      </c>
      <c r="U187" s="42">
        <f>T187*'Constants Sheet'!$E$13</f>
        <v>191.75342465753423</v>
      </c>
      <c r="V187" s="40">
        <f>IF(T187&lt;'Manager Sheet'!$E$11,'Manager Sheet'!$E$14,0)</f>
        <v>0</v>
      </c>
      <c r="W187" s="45">
        <f>IFERROR(VLOOKUP(V187,'Constants Sheet'!$H$11:$J$14,3,TRUE),0)</f>
        <v>0</v>
      </c>
      <c r="Y187" s="15">
        <f t="shared" si="15"/>
        <v>2333</v>
      </c>
      <c r="Z187">
        <f t="shared" si="16"/>
        <v>406</v>
      </c>
      <c r="AA187" s="16">
        <f>IF('Calculation Sheet'!$D$11,'Manager Sheet'!$E$11,NA())</f>
        <v>200</v>
      </c>
    </row>
    <row r="188" spans="15:27" x14ac:dyDescent="0.25">
      <c r="O188" s="4">
        <v>180</v>
      </c>
      <c r="P188" s="4">
        <f t="shared" si="17"/>
        <v>2333</v>
      </c>
      <c r="Q188" s="5">
        <f>'Manager Sheet'!U187</f>
        <v>425</v>
      </c>
      <c r="R188" s="5">
        <f t="shared" si="12"/>
        <v>425</v>
      </c>
      <c r="S188" s="5">
        <f t="shared" si="13"/>
        <v>0</v>
      </c>
      <c r="T188" s="5">
        <f t="shared" si="14"/>
        <v>1908</v>
      </c>
      <c r="U188" s="42">
        <f>T188*'Constants Sheet'!$E$13</f>
        <v>156.82191780821918</v>
      </c>
      <c r="V188" s="40">
        <f>IF(T188&lt;'Manager Sheet'!$E$11,'Manager Sheet'!$E$14,0)</f>
        <v>0</v>
      </c>
      <c r="W188" s="45">
        <f>IFERROR(VLOOKUP(V188,'Constants Sheet'!$H$11:$J$14,3,TRUE),0)</f>
        <v>0</v>
      </c>
      <c r="Y188" s="15">
        <f t="shared" si="15"/>
        <v>1908</v>
      </c>
      <c r="Z188">
        <f t="shared" si="16"/>
        <v>425</v>
      </c>
      <c r="AA188" s="16">
        <f>IF('Calculation Sheet'!$D$11,'Manager Sheet'!$E$11,NA())</f>
        <v>200</v>
      </c>
    </row>
    <row r="189" spans="15:27" x14ac:dyDescent="0.25">
      <c r="O189" s="4">
        <v>181</v>
      </c>
      <c r="P189" s="4">
        <f t="shared" si="17"/>
        <v>1908</v>
      </c>
      <c r="Q189" s="5">
        <f>'Manager Sheet'!U188</f>
        <v>249</v>
      </c>
      <c r="R189" s="5">
        <f t="shared" si="12"/>
        <v>249</v>
      </c>
      <c r="S189" s="5">
        <f t="shared" si="13"/>
        <v>0</v>
      </c>
      <c r="T189" s="5">
        <f t="shared" si="14"/>
        <v>1659</v>
      </c>
      <c r="U189" s="42">
        <f>T189*'Constants Sheet'!$E$13</f>
        <v>136.35616438356163</v>
      </c>
      <c r="V189" s="40">
        <f>IF(T189&lt;'Manager Sheet'!$E$11,'Manager Sheet'!$E$14,0)</f>
        <v>0</v>
      </c>
      <c r="W189" s="45">
        <f>IFERROR(VLOOKUP(V189,'Constants Sheet'!$H$11:$J$14,3,TRUE),0)</f>
        <v>0</v>
      </c>
      <c r="Y189" s="15">
        <f t="shared" si="15"/>
        <v>1659</v>
      </c>
      <c r="Z189">
        <f t="shared" si="16"/>
        <v>249</v>
      </c>
      <c r="AA189" s="16">
        <f>IF('Calculation Sheet'!$D$11,'Manager Sheet'!$E$11,NA())</f>
        <v>200</v>
      </c>
    </row>
    <row r="190" spans="15:27" x14ac:dyDescent="0.25">
      <c r="O190" s="4">
        <v>182</v>
      </c>
      <c r="P190" s="4">
        <f t="shared" si="17"/>
        <v>1659</v>
      </c>
      <c r="Q190" s="5">
        <f>'Manager Sheet'!U189</f>
        <v>592</v>
      </c>
      <c r="R190" s="5">
        <f t="shared" si="12"/>
        <v>592</v>
      </c>
      <c r="S190" s="5">
        <f t="shared" si="13"/>
        <v>0</v>
      </c>
      <c r="T190" s="5">
        <f t="shared" si="14"/>
        <v>1067</v>
      </c>
      <c r="U190" s="42">
        <f>T190*'Constants Sheet'!$E$13</f>
        <v>87.698630136986296</v>
      </c>
      <c r="V190" s="40">
        <f>IF(T190&lt;'Manager Sheet'!$E$11,'Manager Sheet'!$E$14,0)</f>
        <v>0</v>
      </c>
      <c r="W190" s="45">
        <f>IFERROR(VLOOKUP(V190,'Constants Sheet'!$H$11:$J$14,3,TRUE),0)</f>
        <v>0</v>
      </c>
      <c r="Y190" s="15">
        <f t="shared" si="15"/>
        <v>1067</v>
      </c>
      <c r="Z190">
        <f t="shared" si="16"/>
        <v>592</v>
      </c>
      <c r="AA190" s="16">
        <f>IF('Calculation Sheet'!$D$11,'Manager Sheet'!$E$11,NA())</f>
        <v>200</v>
      </c>
    </row>
    <row r="191" spans="15:27" x14ac:dyDescent="0.25">
      <c r="O191" s="4">
        <v>183</v>
      </c>
      <c r="P191" s="4">
        <f t="shared" si="17"/>
        <v>1067</v>
      </c>
      <c r="Q191" s="5">
        <f>'Manager Sheet'!U190</f>
        <v>294</v>
      </c>
      <c r="R191" s="5">
        <f t="shared" si="12"/>
        <v>294</v>
      </c>
      <c r="S191" s="5">
        <f t="shared" si="13"/>
        <v>0</v>
      </c>
      <c r="T191" s="5">
        <f t="shared" si="14"/>
        <v>773</v>
      </c>
      <c r="U191" s="42">
        <f>T191*'Constants Sheet'!$E$13</f>
        <v>63.534246575342465</v>
      </c>
      <c r="V191" s="40">
        <f>IF(T191&lt;'Manager Sheet'!$E$11,'Manager Sheet'!$E$14,0)</f>
        <v>0</v>
      </c>
      <c r="W191" s="45">
        <f>IFERROR(VLOOKUP(V191,'Constants Sheet'!$H$11:$J$14,3,TRUE),0)</f>
        <v>0</v>
      </c>
      <c r="Y191" s="15">
        <f t="shared" si="15"/>
        <v>773</v>
      </c>
      <c r="Z191">
        <f t="shared" si="16"/>
        <v>294</v>
      </c>
      <c r="AA191" s="16">
        <f>IF('Calculation Sheet'!$D$11,'Manager Sheet'!$E$11,NA())</f>
        <v>200</v>
      </c>
    </row>
    <row r="192" spans="15:27" x14ac:dyDescent="0.25">
      <c r="O192" s="4">
        <v>184</v>
      </c>
      <c r="P192" s="4">
        <f t="shared" si="17"/>
        <v>773</v>
      </c>
      <c r="Q192" s="5">
        <f>'Manager Sheet'!U191</f>
        <v>642</v>
      </c>
      <c r="R192" s="5">
        <f t="shared" si="12"/>
        <v>642</v>
      </c>
      <c r="S192" s="5">
        <f t="shared" si="13"/>
        <v>0</v>
      </c>
      <c r="T192" s="5">
        <f t="shared" si="14"/>
        <v>131</v>
      </c>
      <c r="U192" s="42">
        <f>T192*'Constants Sheet'!$E$13</f>
        <v>10.767123287671232</v>
      </c>
      <c r="V192" s="40">
        <f>IF(T192&lt;'Manager Sheet'!$E$11,'Manager Sheet'!$E$14,0)</f>
        <v>5000</v>
      </c>
      <c r="W192" s="45">
        <f>IFERROR(VLOOKUP(V192,'Constants Sheet'!$H$11:$J$14,3,TRUE),0)</f>
        <v>175</v>
      </c>
      <c r="Y192" s="15">
        <f t="shared" si="15"/>
        <v>131</v>
      </c>
      <c r="Z192">
        <f t="shared" si="16"/>
        <v>642</v>
      </c>
      <c r="AA192" s="16">
        <f>IF('Calculation Sheet'!$D$11,'Manager Sheet'!$E$11,NA())</f>
        <v>200</v>
      </c>
    </row>
    <row r="193" spans="15:27" x14ac:dyDescent="0.25">
      <c r="O193" s="4">
        <v>185</v>
      </c>
      <c r="P193" s="4">
        <f t="shared" si="17"/>
        <v>5131</v>
      </c>
      <c r="Q193" s="5">
        <f>'Manager Sheet'!U192</f>
        <v>522</v>
      </c>
      <c r="R193" s="5">
        <f t="shared" si="12"/>
        <v>522</v>
      </c>
      <c r="S193" s="5">
        <f t="shared" si="13"/>
        <v>0</v>
      </c>
      <c r="T193" s="5">
        <f t="shared" si="14"/>
        <v>4609</v>
      </c>
      <c r="U193" s="42">
        <f>T193*'Constants Sheet'!$E$13</f>
        <v>378.82191780821915</v>
      </c>
      <c r="V193" s="40">
        <f>IF(T193&lt;'Manager Sheet'!$E$11,'Manager Sheet'!$E$14,0)</f>
        <v>0</v>
      </c>
      <c r="W193" s="45">
        <f>IFERROR(VLOOKUP(V193,'Constants Sheet'!$H$11:$J$14,3,TRUE),0)</f>
        <v>0</v>
      </c>
      <c r="Y193" s="15">
        <f t="shared" si="15"/>
        <v>4609</v>
      </c>
      <c r="Z193">
        <f t="shared" si="16"/>
        <v>522</v>
      </c>
      <c r="AA193" s="16">
        <f>IF('Calculation Sheet'!$D$11,'Manager Sheet'!$E$11,NA())</f>
        <v>200</v>
      </c>
    </row>
    <row r="194" spans="15:27" x14ac:dyDescent="0.25">
      <c r="O194" s="4">
        <v>186</v>
      </c>
      <c r="P194" s="4">
        <f t="shared" si="17"/>
        <v>4609</v>
      </c>
      <c r="Q194" s="5">
        <f>'Manager Sheet'!U193</f>
        <v>645</v>
      </c>
      <c r="R194" s="5">
        <f t="shared" si="12"/>
        <v>645</v>
      </c>
      <c r="S194" s="5">
        <f t="shared" si="13"/>
        <v>0</v>
      </c>
      <c r="T194" s="5">
        <f t="shared" si="14"/>
        <v>3964</v>
      </c>
      <c r="U194" s="42">
        <f>T194*'Constants Sheet'!$E$13</f>
        <v>325.8082191780822</v>
      </c>
      <c r="V194" s="40">
        <f>IF(T194&lt;'Manager Sheet'!$E$11,'Manager Sheet'!$E$14,0)</f>
        <v>0</v>
      </c>
      <c r="W194" s="45">
        <f>IFERROR(VLOOKUP(V194,'Constants Sheet'!$H$11:$J$14,3,TRUE),0)</f>
        <v>0</v>
      </c>
      <c r="Y194" s="15">
        <f t="shared" si="15"/>
        <v>3964</v>
      </c>
      <c r="Z194">
        <f t="shared" si="16"/>
        <v>645</v>
      </c>
      <c r="AA194" s="16">
        <f>IF('Calculation Sheet'!$D$11,'Manager Sheet'!$E$11,NA())</f>
        <v>200</v>
      </c>
    </row>
    <row r="195" spans="15:27" x14ac:dyDescent="0.25">
      <c r="O195" s="4">
        <v>187</v>
      </c>
      <c r="P195" s="4">
        <f t="shared" si="17"/>
        <v>3964</v>
      </c>
      <c r="Q195" s="5">
        <f>'Manager Sheet'!U194</f>
        <v>545</v>
      </c>
      <c r="R195" s="5">
        <f t="shared" si="12"/>
        <v>545</v>
      </c>
      <c r="S195" s="5">
        <f t="shared" si="13"/>
        <v>0</v>
      </c>
      <c r="T195" s="5">
        <f t="shared" si="14"/>
        <v>3419</v>
      </c>
      <c r="U195" s="42">
        <f>T195*'Constants Sheet'!$E$13</f>
        <v>281.01369863013696</v>
      </c>
      <c r="V195" s="40">
        <f>IF(T195&lt;'Manager Sheet'!$E$11,'Manager Sheet'!$E$14,0)</f>
        <v>0</v>
      </c>
      <c r="W195" s="45">
        <f>IFERROR(VLOOKUP(V195,'Constants Sheet'!$H$11:$J$14,3,TRUE),0)</f>
        <v>0</v>
      </c>
      <c r="Y195" s="15">
        <f t="shared" si="15"/>
        <v>3419</v>
      </c>
      <c r="Z195">
        <f t="shared" si="16"/>
        <v>545</v>
      </c>
      <c r="AA195" s="16">
        <f>IF('Calculation Sheet'!$D$11,'Manager Sheet'!$E$11,NA())</f>
        <v>200</v>
      </c>
    </row>
    <row r="196" spans="15:27" x14ac:dyDescent="0.25">
      <c r="O196" s="4">
        <v>188</v>
      </c>
      <c r="P196" s="4">
        <f t="shared" si="17"/>
        <v>3419</v>
      </c>
      <c r="Q196" s="5">
        <f>'Manager Sheet'!U195</f>
        <v>558</v>
      </c>
      <c r="R196" s="5">
        <f t="shared" si="12"/>
        <v>558</v>
      </c>
      <c r="S196" s="5">
        <f t="shared" si="13"/>
        <v>0</v>
      </c>
      <c r="T196" s="5">
        <f t="shared" si="14"/>
        <v>2861</v>
      </c>
      <c r="U196" s="42">
        <f>T196*'Constants Sheet'!$E$13</f>
        <v>235.15068493150685</v>
      </c>
      <c r="V196" s="40">
        <f>IF(T196&lt;'Manager Sheet'!$E$11,'Manager Sheet'!$E$14,0)</f>
        <v>0</v>
      </c>
      <c r="W196" s="45">
        <f>IFERROR(VLOOKUP(V196,'Constants Sheet'!$H$11:$J$14,3,TRUE),0)</f>
        <v>0</v>
      </c>
      <c r="Y196" s="15">
        <f t="shared" si="15"/>
        <v>2861</v>
      </c>
      <c r="Z196">
        <f t="shared" si="16"/>
        <v>558</v>
      </c>
      <c r="AA196" s="16">
        <f>IF('Calculation Sheet'!$D$11,'Manager Sheet'!$E$11,NA())</f>
        <v>200</v>
      </c>
    </row>
    <row r="197" spans="15:27" x14ac:dyDescent="0.25">
      <c r="O197" s="4">
        <v>189</v>
      </c>
      <c r="P197" s="4">
        <f t="shared" si="17"/>
        <v>2861</v>
      </c>
      <c r="Q197" s="5">
        <f>'Manager Sheet'!U196</f>
        <v>256</v>
      </c>
      <c r="R197" s="5">
        <f t="shared" si="12"/>
        <v>256</v>
      </c>
      <c r="S197" s="5">
        <f t="shared" si="13"/>
        <v>0</v>
      </c>
      <c r="T197" s="5">
        <f t="shared" si="14"/>
        <v>2605</v>
      </c>
      <c r="U197" s="42">
        <f>T197*'Constants Sheet'!$E$13</f>
        <v>214.10958904109589</v>
      </c>
      <c r="V197" s="40">
        <f>IF(T197&lt;'Manager Sheet'!$E$11,'Manager Sheet'!$E$14,0)</f>
        <v>0</v>
      </c>
      <c r="W197" s="45">
        <f>IFERROR(VLOOKUP(V197,'Constants Sheet'!$H$11:$J$14,3,TRUE),0)</f>
        <v>0</v>
      </c>
      <c r="Y197" s="15">
        <f t="shared" si="15"/>
        <v>2605</v>
      </c>
      <c r="Z197">
        <f t="shared" si="16"/>
        <v>256</v>
      </c>
      <c r="AA197" s="16">
        <f>IF('Calculation Sheet'!$D$11,'Manager Sheet'!$E$11,NA())</f>
        <v>200</v>
      </c>
    </row>
    <row r="198" spans="15:27" x14ac:dyDescent="0.25">
      <c r="O198" s="4">
        <v>190</v>
      </c>
      <c r="P198" s="4">
        <f t="shared" si="17"/>
        <v>2605</v>
      </c>
      <c r="Q198" s="5">
        <f>'Manager Sheet'!U197</f>
        <v>526</v>
      </c>
      <c r="R198" s="5">
        <f t="shared" si="12"/>
        <v>526</v>
      </c>
      <c r="S198" s="5">
        <f t="shared" si="13"/>
        <v>0</v>
      </c>
      <c r="T198" s="5">
        <f t="shared" si="14"/>
        <v>2079</v>
      </c>
      <c r="U198" s="42">
        <f>T198*'Constants Sheet'!$E$13</f>
        <v>170.87671232876713</v>
      </c>
      <c r="V198" s="40">
        <f>IF(T198&lt;'Manager Sheet'!$E$11,'Manager Sheet'!$E$14,0)</f>
        <v>0</v>
      </c>
      <c r="W198" s="45">
        <f>IFERROR(VLOOKUP(V198,'Constants Sheet'!$H$11:$J$14,3,TRUE),0)</f>
        <v>0</v>
      </c>
      <c r="Y198" s="15">
        <f t="shared" si="15"/>
        <v>2079</v>
      </c>
      <c r="Z198">
        <f t="shared" si="16"/>
        <v>526</v>
      </c>
      <c r="AA198" s="16">
        <f>IF('Calculation Sheet'!$D$11,'Manager Sheet'!$E$11,NA())</f>
        <v>200</v>
      </c>
    </row>
    <row r="199" spans="15:27" x14ac:dyDescent="0.25">
      <c r="O199" s="4">
        <v>191</v>
      </c>
      <c r="P199" s="4">
        <f t="shared" si="17"/>
        <v>2079</v>
      </c>
      <c r="Q199" s="5">
        <f>'Manager Sheet'!U198</f>
        <v>343</v>
      </c>
      <c r="R199" s="5">
        <f t="shared" si="12"/>
        <v>343</v>
      </c>
      <c r="S199" s="5">
        <f t="shared" si="13"/>
        <v>0</v>
      </c>
      <c r="T199" s="5">
        <f t="shared" si="14"/>
        <v>1736</v>
      </c>
      <c r="U199" s="42">
        <f>T199*'Constants Sheet'!$E$13</f>
        <v>142.6849315068493</v>
      </c>
      <c r="V199" s="40">
        <f>IF(T199&lt;'Manager Sheet'!$E$11,'Manager Sheet'!$E$14,0)</f>
        <v>0</v>
      </c>
      <c r="W199" s="45">
        <f>IFERROR(VLOOKUP(V199,'Constants Sheet'!$H$11:$J$14,3,TRUE),0)</f>
        <v>0</v>
      </c>
      <c r="Y199" s="15">
        <f t="shared" si="15"/>
        <v>1736</v>
      </c>
      <c r="Z199">
        <f t="shared" si="16"/>
        <v>343</v>
      </c>
      <c r="AA199" s="16">
        <f>IF('Calculation Sheet'!$D$11,'Manager Sheet'!$E$11,NA())</f>
        <v>200</v>
      </c>
    </row>
    <row r="200" spans="15:27" x14ac:dyDescent="0.25">
      <c r="O200" s="4">
        <v>192</v>
      </c>
      <c r="P200" s="4">
        <f t="shared" si="17"/>
        <v>1736</v>
      </c>
      <c r="Q200" s="5">
        <f>'Manager Sheet'!U199</f>
        <v>365</v>
      </c>
      <c r="R200" s="5">
        <f t="shared" si="12"/>
        <v>365</v>
      </c>
      <c r="S200" s="5">
        <f t="shared" si="13"/>
        <v>0</v>
      </c>
      <c r="T200" s="5">
        <f t="shared" si="14"/>
        <v>1371</v>
      </c>
      <c r="U200" s="42">
        <f>T200*'Constants Sheet'!$E$13</f>
        <v>112.68493150684931</v>
      </c>
      <c r="V200" s="40">
        <f>IF(T200&lt;'Manager Sheet'!$E$11,'Manager Sheet'!$E$14,0)</f>
        <v>0</v>
      </c>
      <c r="W200" s="45">
        <f>IFERROR(VLOOKUP(V200,'Constants Sheet'!$H$11:$J$14,3,TRUE),0)</f>
        <v>0</v>
      </c>
      <c r="Y200" s="15">
        <f t="shared" si="15"/>
        <v>1371</v>
      </c>
      <c r="Z200">
        <f t="shared" si="16"/>
        <v>365</v>
      </c>
      <c r="AA200" s="16">
        <f>IF('Calculation Sheet'!$D$11,'Manager Sheet'!$E$11,NA())</f>
        <v>200</v>
      </c>
    </row>
    <row r="201" spans="15:27" x14ac:dyDescent="0.25">
      <c r="O201" s="4">
        <v>193</v>
      </c>
      <c r="P201" s="4">
        <f t="shared" si="17"/>
        <v>1371</v>
      </c>
      <c r="Q201" s="5">
        <f>'Manager Sheet'!U200</f>
        <v>413</v>
      </c>
      <c r="R201" s="5">
        <f t="shared" si="12"/>
        <v>413</v>
      </c>
      <c r="S201" s="5">
        <f t="shared" si="13"/>
        <v>0</v>
      </c>
      <c r="T201" s="5">
        <f t="shared" si="14"/>
        <v>958</v>
      </c>
      <c r="U201" s="42">
        <f>T201*'Constants Sheet'!$E$13</f>
        <v>78.739726027397253</v>
      </c>
      <c r="V201" s="40">
        <f>IF(T201&lt;'Manager Sheet'!$E$11,'Manager Sheet'!$E$14,0)</f>
        <v>0</v>
      </c>
      <c r="W201" s="45">
        <f>IFERROR(VLOOKUP(V201,'Constants Sheet'!$H$11:$J$14,3,TRUE),0)</f>
        <v>0</v>
      </c>
      <c r="Y201" s="15">
        <f t="shared" si="15"/>
        <v>958</v>
      </c>
      <c r="Z201">
        <f t="shared" si="16"/>
        <v>413</v>
      </c>
      <c r="AA201" s="16">
        <f>IF('Calculation Sheet'!$D$11,'Manager Sheet'!$E$11,NA())</f>
        <v>200</v>
      </c>
    </row>
    <row r="202" spans="15:27" x14ac:dyDescent="0.25">
      <c r="O202" s="4">
        <v>194</v>
      </c>
      <c r="P202" s="4">
        <f t="shared" si="17"/>
        <v>958</v>
      </c>
      <c r="Q202" s="5">
        <f>'Manager Sheet'!U201</f>
        <v>609</v>
      </c>
      <c r="R202" s="5">
        <f t="shared" ref="R202:R265" si="18">IF(P202&gt;Q202,Q202,P202)</f>
        <v>609</v>
      </c>
      <c r="S202" s="5">
        <f t="shared" ref="S202:S265" si="19">Q202-R202</f>
        <v>0</v>
      </c>
      <c r="T202" s="5">
        <f t="shared" ref="T202:T265" si="20">P202-R202</f>
        <v>349</v>
      </c>
      <c r="U202" s="42">
        <f>T202*'Constants Sheet'!$E$13</f>
        <v>28.684931506849313</v>
      </c>
      <c r="V202" s="40">
        <f>IF(T202&lt;'Manager Sheet'!$E$11,'Manager Sheet'!$E$14,0)</f>
        <v>0</v>
      </c>
      <c r="W202" s="45">
        <f>IFERROR(VLOOKUP(V202,'Constants Sheet'!$H$11:$J$14,3,TRUE),0)</f>
        <v>0</v>
      </c>
      <c r="Y202" s="15">
        <f t="shared" ref="Y202:Y265" si="21">IF($D$10,T202,NA())</f>
        <v>349</v>
      </c>
      <c r="Z202">
        <f t="shared" ref="Z202:Z265" si="22">IF($D$9,Q202,NA())</f>
        <v>609</v>
      </c>
      <c r="AA202" s="16">
        <f>IF('Calculation Sheet'!$D$11,'Manager Sheet'!$E$11,NA())</f>
        <v>200</v>
      </c>
    </row>
    <row r="203" spans="15:27" x14ac:dyDescent="0.25">
      <c r="O203" s="4">
        <v>195</v>
      </c>
      <c r="P203" s="4">
        <f t="shared" ref="P203:P266" si="23">T202+V202</f>
        <v>349</v>
      </c>
      <c r="Q203" s="5">
        <f>'Manager Sheet'!U202</f>
        <v>590</v>
      </c>
      <c r="R203" s="5">
        <f t="shared" si="18"/>
        <v>349</v>
      </c>
      <c r="S203" s="5">
        <f t="shared" si="19"/>
        <v>241</v>
      </c>
      <c r="T203" s="5">
        <f t="shared" si="20"/>
        <v>0</v>
      </c>
      <c r="U203" s="42">
        <f>T203*'Constants Sheet'!$E$13</f>
        <v>0</v>
      </c>
      <c r="V203" s="40">
        <f>IF(T203&lt;'Manager Sheet'!$E$11,'Manager Sheet'!$E$14,0)</f>
        <v>5000</v>
      </c>
      <c r="W203" s="45">
        <f>IFERROR(VLOOKUP(V203,'Constants Sheet'!$H$11:$J$14,3,TRUE),0)</f>
        <v>175</v>
      </c>
      <c r="Y203" s="15">
        <f t="shared" si="21"/>
        <v>0</v>
      </c>
      <c r="Z203">
        <f t="shared" si="22"/>
        <v>590</v>
      </c>
      <c r="AA203" s="16">
        <f>IF('Calculation Sheet'!$D$11,'Manager Sheet'!$E$11,NA())</f>
        <v>200</v>
      </c>
    </row>
    <row r="204" spans="15:27" x14ac:dyDescent="0.25">
      <c r="O204" s="4">
        <v>196</v>
      </c>
      <c r="P204" s="4">
        <f t="shared" si="23"/>
        <v>5000</v>
      </c>
      <c r="Q204" s="5">
        <f>'Manager Sheet'!U203</f>
        <v>523</v>
      </c>
      <c r="R204" s="5">
        <f t="shared" si="18"/>
        <v>523</v>
      </c>
      <c r="S204" s="5">
        <f t="shared" si="19"/>
        <v>0</v>
      </c>
      <c r="T204" s="5">
        <f t="shared" si="20"/>
        <v>4477</v>
      </c>
      <c r="U204" s="42">
        <f>T204*'Constants Sheet'!$E$13</f>
        <v>367.97260273972603</v>
      </c>
      <c r="V204" s="40">
        <f>IF(T204&lt;'Manager Sheet'!$E$11,'Manager Sheet'!$E$14,0)</f>
        <v>0</v>
      </c>
      <c r="W204" s="45">
        <f>IFERROR(VLOOKUP(V204,'Constants Sheet'!$H$11:$J$14,3,TRUE),0)</f>
        <v>0</v>
      </c>
      <c r="Y204" s="15">
        <f t="shared" si="21"/>
        <v>4477</v>
      </c>
      <c r="Z204">
        <f t="shared" si="22"/>
        <v>523</v>
      </c>
      <c r="AA204" s="16">
        <f>IF('Calculation Sheet'!$D$11,'Manager Sheet'!$E$11,NA())</f>
        <v>200</v>
      </c>
    </row>
    <row r="205" spans="15:27" x14ac:dyDescent="0.25">
      <c r="O205" s="4">
        <v>197</v>
      </c>
      <c r="P205" s="4">
        <f t="shared" si="23"/>
        <v>4477</v>
      </c>
      <c r="Q205" s="5">
        <f>'Manager Sheet'!U204</f>
        <v>513</v>
      </c>
      <c r="R205" s="5">
        <f t="shared" si="18"/>
        <v>513</v>
      </c>
      <c r="S205" s="5">
        <f t="shared" si="19"/>
        <v>0</v>
      </c>
      <c r="T205" s="5">
        <f t="shared" si="20"/>
        <v>3964</v>
      </c>
      <c r="U205" s="42">
        <f>T205*'Constants Sheet'!$E$13</f>
        <v>325.8082191780822</v>
      </c>
      <c r="V205" s="40">
        <f>IF(T205&lt;'Manager Sheet'!$E$11,'Manager Sheet'!$E$14,0)</f>
        <v>0</v>
      </c>
      <c r="W205" s="45">
        <f>IFERROR(VLOOKUP(V205,'Constants Sheet'!$H$11:$J$14,3,TRUE),0)</f>
        <v>0</v>
      </c>
      <c r="Y205" s="15">
        <f t="shared" si="21"/>
        <v>3964</v>
      </c>
      <c r="Z205">
        <f t="shared" si="22"/>
        <v>513</v>
      </c>
      <c r="AA205" s="16">
        <f>IF('Calculation Sheet'!$D$11,'Manager Sheet'!$E$11,NA())</f>
        <v>200</v>
      </c>
    </row>
    <row r="206" spans="15:27" x14ac:dyDescent="0.25">
      <c r="O206" s="4">
        <v>198</v>
      </c>
      <c r="P206" s="4">
        <f t="shared" si="23"/>
        <v>3964</v>
      </c>
      <c r="Q206" s="5">
        <f>'Manager Sheet'!U205</f>
        <v>566</v>
      </c>
      <c r="R206" s="5">
        <f t="shared" si="18"/>
        <v>566</v>
      </c>
      <c r="S206" s="5">
        <f t="shared" si="19"/>
        <v>0</v>
      </c>
      <c r="T206" s="5">
        <f t="shared" si="20"/>
        <v>3398</v>
      </c>
      <c r="U206" s="42">
        <f>T206*'Constants Sheet'!$E$13</f>
        <v>279.28767123287668</v>
      </c>
      <c r="V206" s="40">
        <f>IF(T206&lt;'Manager Sheet'!$E$11,'Manager Sheet'!$E$14,0)</f>
        <v>0</v>
      </c>
      <c r="W206" s="45">
        <f>IFERROR(VLOOKUP(V206,'Constants Sheet'!$H$11:$J$14,3,TRUE),0)</f>
        <v>0</v>
      </c>
      <c r="Y206" s="15">
        <f t="shared" si="21"/>
        <v>3398</v>
      </c>
      <c r="Z206">
        <f t="shared" si="22"/>
        <v>566</v>
      </c>
      <c r="AA206" s="16">
        <f>IF('Calculation Sheet'!$D$11,'Manager Sheet'!$E$11,NA())</f>
        <v>200</v>
      </c>
    </row>
    <row r="207" spans="15:27" x14ac:dyDescent="0.25">
      <c r="O207" s="4">
        <v>199</v>
      </c>
      <c r="P207" s="4">
        <f t="shared" si="23"/>
        <v>3398</v>
      </c>
      <c r="Q207" s="5">
        <f>'Manager Sheet'!U206</f>
        <v>570</v>
      </c>
      <c r="R207" s="5">
        <f t="shared" si="18"/>
        <v>570</v>
      </c>
      <c r="S207" s="5">
        <f t="shared" si="19"/>
        <v>0</v>
      </c>
      <c r="T207" s="5">
        <f t="shared" si="20"/>
        <v>2828</v>
      </c>
      <c r="U207" s="42">
        <f>T207*'Constants Sheet'!$E$13</f>
        <v>232.43835616438355</v>
      </c>
      <c r="V207" s="40">
        <f>IF(T207&lt;'Manager Sheet'!$E$11,'Manager Sheet'!$E$14,0)</f>
        <v>0</v>
      </c>
      <c r="W207" s="45">
        <f>IFERROR(VLOOKUP(V207,'Constants Sheet'!$H$11:$J$14,3,TRUE),0)</f>
        <v>0</v>
      </c>
      <c r="Y207" s="15">
        <f t="shared" si="21"/>
        <v>2828</v>
      </c>
      <c r="Z207">
        <f t="shared" si="22"/>
        <v>570</v>
      </c>
      <c r="AA207" s="16">
        <f>IF('Calculation Sheet'!$D$11,'Manager Sheet'!$E$11,NA())</f>
        <v>200</v>
      </c>
    </row>
    <row r="208" spans="15:27" x14ac:dyDescent="0.25">
      <c r="O208" s="4">
        <v>200</v>
      </c>
      <c r="P208" s="4">
        <f t="shared" si="23"/>
        <v>2828</v>
      </c>
      <c r="Q208" s="5">
        <f>'Manager Sheet'!U207</f>
        <v>340</v>
      </c>
      <c r="R208" s="5">
        <f t="shared" si="18"/>
        <v>340</v>
      </c>
      <c r="S208" s="5">
        <f t="shared" si="19"/>
        <v>0</v>
      </c>
      <c r="T208" s="5">
        <f t="shared" si="20"/>
        <v>2488</v>
      </c>
      <c r="U208" s="42">
        <f>T208*'Constants Sheet'!$E$13</f>
        <v>204.49315068493149</v>
      </c>
      <c r="V208" s="40">
        <f>IF(T208&lt;'Manager Sheet'!$E$11,'Manager Sheet'!$E$14,0)</f>
        <v>0</v>
      </c>
      <c r="W208" s="45">
        <f>IFERROR(VLOOKUP(V208,'Constants Sheet'!$H$11:$J$14,3,TRUE),0)</f>
        <v>0</v>
      </c>
      <c r="Y208" s="15">
        <f t="shared" si="21"/>
        <v>2488</v>
      </c>
      <c r="Z208">
        <f t="shared" si="22"/>
        <v>340</v>
      </c>
      <c r="AA208" s="16">
        <f>IF('Calculation Sheet'!$D$11,'Manager Sheet'!$E$11,NA())</f>
        <v>200</v>
      </c>
    </row>
    <row r="209" spans="15:27" x14ac:dyDescent="0.25">
      <c r="O209" s="4">
        <v>201</v>
      </c>
      <c r="P209" s="4">
        <f t="shared" si="23"/>
        <v>2488</v>
      </c>
      <c r="Q209" s="5">
        <f>'Manager Sheet'!U208</f>
        <v>804</v>
      </c>
      <c r="R209" s="5">
        <f t="shared" si="18"/>
        <v>804</v>
      </c>
      <c r="S209" s="5">
        <f t="shared" si="19"/>
        <v>0</v>
      </c>
      <c r="T209" s="5">
        <f t="shared" si="20"/>
        <v>1684</v>
      </c>
      <c r="U209" s="42">
        <f>T209*'Constants Sheet'!$E$13</f>
        <v>138.41095890410958</v>
      </c>
      <c r="V209" s="40">
        <f>IF(T209&lt;'Manager Sheet'!$E$11,'Manager Sheet'!$E$14,0)</f>
        <v>0</v>
      </c>
      <c r="W209" s="45">
        <f>IFERROR(VLOOKUP(V209,'Constants Sheet'!$H$11:$J$14,3,TRUE),0)</f>
        <v>0</v>
      </c>
      <c r="Y209" s="15">
        <f t="shared" si="21"/>
        <v>1684</v>
      </c>
      <c r="Z209">
        <f t="shared" si="22"/>
        <v>804</v>
      </c>
      <c r="AA209" s="16">
        <f>IF('Calculation Sheet'!$D$11,'Manager Sheet'!$E$11,NA())</f>
        <v>200</v>
      </c>
    </row>
    <row r="210" spans="15:27" x14ac:dyDescent="0.25">
      <c r="O210" s="4">
        <v>202</v>
      </c>
      <c r="P210" s="4">
        <f t="shared" si="23"/>
        <v>1684</v>
      </c>
      <c r="Q210" s="5">
        <f>'Manager Sheet'!U209</f>
        <v>668</v>
      </c>
      <c r="R210" s="5">
        <f t="shared" si="18"/>
        <v>668</v>
      </c>
      <c r="S210" s="5">
        <f t="shared" si="19"/>
        <v>0</v>
      </c>
      <c r="T210" s="5">
        <f t="shared" si="20"/>
        <v>1016</v>
      </c>
      <c r="U210" s="42">
        <f>T210*'Constants Sheet'!$E$13</f>
        <v>83.506849315068493</v>
      </c>
      <c r="V210" s="40">
        <f>IF(T210&lt;'Manager Sheet'!$E$11,'Manager Sheet'!$E$14,0)</f>
        <v>0</v>
      </c>
      <c r="W210" s="45">
        <f>IFERROR(VLOOKUP(V210,'Constants Sheet'!$H$11:$J$14,3,TRUE),0)</f>
        <v>0</v>
      </c>
      <c r="Y210" s="15">
        <f t="shared" si="21"/>
        <v>1016</v>
      </c>
      <c r="Z210">
        <f t="shared" si="22"/>
        <v>668</v>
      </c>
      <c r="AA210" s="16">
        <f>IF('Calculation Sheet'!$D$11,'Manager Sheet'!$E$11,NA())</f>
        <v>200</v>
      </c>
    </row>
    <row r="211" spans="15:27" x14ac:dyDescent="0.25">
      <c r="O211" s="4">
        <v>203</v>
      </c>
      <c r="P211" s="4">
        <f t="shared" si="23"/>
        <v>1016</v>
      </c>
      <c r="Q211" s="5">
        <f>'Manager Sheet'!U210</f>
        <v>762</v>
      </c>
      <c r="R211" s="5">
        <f t="shared" si="18"/>
        <v>762</v>
      </c>
      <c r="S211" s="5">
        <f t="shared" si="19"/>
        <v>0</v>
      </c>
      <c r="T211" s="5">
        <f t="shared" si="20"/>
        <v>254</v>
      </c>
      <c r="U211" s="42">
        <f>T211*'Constants Sheet'!$E$13</f>
        <v>20.876712328767123</v>
      </c>
      <c r="V211" s="40">
        <f>IF(T211&lt;'Manager Sheet'!$E$11,'Manager Sheet'!$E$14,0)</f>
        <v>0</v>
      </c>
      <c r="W211" s="45">
        <f>IFERROR(VLOOKUP(V211,'Constants Sheet'!$H$11:$J$14,3,TRUE),0)</f>
        <v>0</v>
      </c>
      <c r="Y211" s="15">
        <f t="shared" si="21"/>
        <v>254</v>
      </c>
      <c r="Z211">
        <f t="shared" si="22"/>
        <v>762</v>
      </c>
      <c r="AA211" s="16">
        <f>IF('Calculation Sheet'!$D$11,'Manager Sheet'!$E$11,NA())</f>
        <v>200</v>
      </c>
    </row>
    <row r="212" spans="15:27" x14ac:dyDescent="0.25">
      <c r="O212" s="4">
        <v>204</v>
      </c>
      <c r="P212" s="4">
        <f t="shared" si="23"/>
        <v>254</v>
      </c>
      <c r="Q212" s="5">
        <f>'Manager Sheet'!U211</f>
        <v>393</v>
      </c>
      <c r="R212" s="5">
        <f t="shared" si="18"/>
        <v>254</v>
      </c>
      <c r="S212" s="5">
        <f t="shared" si="19"/>
        <v>139</v>
      </c>
      <c r="T212" s="5">
        <f t="shared" si="20"/>
        <v>0</v>
      </c>
      <c r="U212" s="42">
        <f>T212*'Constants Sheet'!$E$13</f>
        <v>0</v>
      </c>
      <c r="V212" s="40">
        <f>IF(T212&lt;'Manager Sheet'!$E$11,'Manager Sheet'!$E$14,0)</f>
        <v>5000</v>
      </c>
      <c r="W212" s="45">
        <f>IFERROR(VLOOKUP(V212,'Constants Sheet'!$H$11:$J$14,3,TRUE),0)</f>
        <v>175</v>
      </c>
      <c r="Y212" s="15">
        <f t="shared" si="21"/>
        <v>0</v>
      </c>
      <c r="Z212">
        <f t="shared" si="22"/>
        <v>393</v>
      </c>
      <c r="AA212" s="16">
        <f>IF('Calculation Sheet'!$D$11,'Manager Sheet'!$E$11,NA())</f>
        <v>200</v>
      </c>
    </row>
    <row r="213" spans="15:27" x14ac:dyDescent="0.25">
      <c r="O213" s="4">
        <v>205</v>
      </c>
      <c r="P213" s="4">
        <f t="shared" si="23"/>
        <v>5000</v>
      </c>
      <c r="Q213" s="5">
        <f>'Manager Sheet'!U212</f>
        <v>611</v>
      </c>
      <c r="R213" s="5">
        <f t="shared" si="18"/>
        <v>611</v>
      </c>
      <c r="S213" s="5">
        <f t="shared" si="19"/>
        <v>0</v>
      </c>
      <c r="T213" s="5">
        <f t="shared" si="20"/>
        <v>4389</v>
      </c>
      <c r="U213" s="42">
        <f>T213*'Constants Sheet'!$E$13</f>
        <v>360.73972602739724</v>
      </c>
      <c r="V213" s="40">
        <f>IF(T213&lt;'Manager Sheet'!$E$11,'Manager Sheet'!$E$14,0)</f>
        <v>0</v>
      </c>
      <c r="W213" s="45">
        <f>IFERROR(VLOOKUP(V213,'Constants Sheet'!$H$11:$J$14,3,TRUE),0)</f>
        <v>0</v>
      </c>
      <c r="Y213" s="15">
        <f t="shared" si="21"/>
        <v>4389</v>
      </c>
      <c r="Z213">
        <f t="shared" si="22"/>
        <v>611</v>
      </c>
      <c r="AA213" s="16">
        <f>IF('Calculation Sheet'!$D$11,'Manager Sheet'!$E$11,NA())</f>
        <v>200</v>
      </c>
    </row>
    <row r="214" spans="15:27" x14ac:dyDescent="0.25">
      <c r="O214" s="4">
        <v>206</v>
      </c>
      <c r="P214" s="4">
        <f t="shared" si="23"/>
        <v>4389</v>
      </c>
      <c r="Q214" s="5">
        <f>'Manager Sheet'!U213</f>
        <v>414</v>
      </c>
      <c r="R214" s="5">
        <f t="shared" si="18"/>
        <v>414</v>
      </c>
      <c r="S214" s="5">
        <f t="shared" si="19"/>
        <v>0</v>
      </c>
      <c r="T214" s="5">
        <f t="shared" si="20"/>
        <v>3975</v>
      </c>
      <c r="U214" s="42">
        <f>T214*'Constants Sheet'!$E$13</f>
        <v>326.71232876712327</v>
      </c>
      <c r="V214" s="40">
        <f>IF(T214&lt;'Manager Sheet'!$E$11,'Manager Sheet'!$E$14,0)</f>
        <v>0</v>
      </c>
      <c r="W214" s="45">
        <f>IFERROR(VLOOKUP(V214,'Constants Sheet'!$H$11:$J$14,3,TRUE),0)</f>
        <v>0</v>
      </c>
      <c r="Y214" s="15">
        <f t="shared" si="21"/>
        <v>3975</v>
      </c>
      <c r="Z214">
        <f t="shared" si="22"/>
        <v>414</v>
      </c>
      <c r="AA214" s="16">
        <f>IF('Calculation Sheet'!$D$11,'Manager Sheet'!$E$11,NA())</f>
        <v>200</v>
      </c>
    </row>
    <row r="215" spans="15:27" x14ac:dyDescent="0.25">
      <c r="O215" s="4">
        <v>207</v>
      </c>
      <c r="P215" s="4">
        <f t="shared" si="23"/>
        <v>3975</v>
      </c>
      <c r="Q215" s="5">
        <f>'Manager Sheet'!U214</f>
        <v>464</v>
      </c>
      <c r="R215" s="5">
        <f t="shared" si="18"/>
        <v>464</v>
      </c>
      <c r="S215" s="5">
        <f t="shared" si="19"/>
        <v>0</v>
      </c>
      <c r="T215" s="5">
        <f t="shared" si="20"/>
        <v>3511</v>
      </c>
      <c r="U215" s="42">
        <f>T215*'Constants Sheet'!$E$13</f>
        <v>288.57534246575341</v>
      </c>
      <c r="V215" s="40">
        <f>IF(T215&lt;'Manager Sheet'!$E$11,'Manager Sheet'!$E$14,0)</f>
        <v>0</v>
      </c>
      <c r="W215" s="45">
        <f>IFERROR(VLOOKUP(V215,'Constants Sheet'!$H$11:$J$14,3,TRUE),0)</f>
        <v>0</v>
      </c>
      <c r="Y215" s="15">
        <f t="shared" si="21"/>
        <v>3511</v>
      </c>
      <c r="Z215">
        <f t="shared" si="22"/>
        <v>464</v>
      </c>
      <c r="AA215" s="16">
        <f>IF('Calculation Sheet'!$D$11,'Manager Sheet'!$E$11,NA())</f>
        <v>200</v>
      </c>
    </row>
    <row r="216" spans="15:27" x14ac:dyDescent="0.25">
      <c r="O216" s="4">
        <v>208</v>
      </c>
      <c r="P216" s="4">
        <f t="shared" si="23"/>
        <v>3511</v>
      </c>
      <c r="Q216" s="5">
        <f>'Manager Sheet'!U215</f>
        <v>580</v>
      </c>
      <c r="R216" s="5">
        <f t="shared" si="18"/>
        <v>580</v>
      </c>
      <c r="S216" s="5">
        <f t="shared" si="19"/>
        <v>0</v>
      </c>
      <c r="T216" s="5">
        <f t="shared" si="20"/>
        <v>2931</v>
      </c>
      <c r="U216" s="42">
        <f>T216*'Constants Sheet'!$E$13</f>
        <v>240.90410958904107</v>
      </c>
      <c r="V216" s="40">
        <f>IF(T216&lt;'Manager Sheet'!$E$11,'Manager Sheet'!$E$14,0)</f>
        <v>0</v>
      </c>
      <c r="W216" s="45">
        <f>IFERROR(VLOOKUP(V216,'Constants Sheet'!$H$11:$J$14,3,TRUE),0)</f>
        <v>0</v>
      </c>
      <c r="Y216" s="15">
        <f t="shared" si="21"/>
        <v>2931</v>
      </c>
      <c r="Z216">
        <f t="shared" si="22"/>
        <v>580</v>
      </c>
      <c r="AA216" s="16">
        <f>IF('Calculation Sheet'!$D$11,'Manager Sheet'!$E$11,NA())</f>
        <v>200</v>
      </c>
    </row>
    <row r="217" spans="15:27" x14ac:dyDescent="0.25">
      <c r="O217" s="4">
        <v>209</v>
      </c>
      <c r="P217" s="4">
        <f t="shared" si="23"/>
        <v>2931</v>
      </c>
      <c r="Q217" s="5">
        <f>'Manager Sheet'!U216</f>
        <v>593</v>
      </c>
      <c r="R217" s="5">
        <f t="shared" si="18"/>
        <v>593</v>
      </c>
      <c r="S217" s="5">
        <f t="shared" si="19"/>
        <v>0</v>
      </c>
      <c r="T217" s="5">
        <f t="shared" si="20"/>
        <v>2338</v>
      </c>
      <c r="U217" s="42">
        <f>T217*'Constants Sheet'!$E$13</f>
        <v>192.16438356164383</v>
      </c>
      <c r="V217" s="40">
        <f>IF(T217&lt;'Manager Sheet'!$E$11,'Manager Sheet'!$E$14,0)</f>
        <v>0</v>
      </c>
      <c r="W217" s="45">
        <f>IFERROR(VLOOKUP(V217,'Constants Sheet'!$H$11:$J$14,3,TRUE),0)</f>
        <v>0</v>
      </c>
      <c r="Y217" s="15">
        <f t="shared" si="21"/>
        <v>2338</v>
      </c>
      <c r="Z217">
        <f t="shared" si="22"/>
        <v>593</v>
      </c>
      <c r="AA217" s="16">
        <f>IF('Calculation Sheet'!$D$11,'Manager Sheet'!$E$11,NA())</f>
        <v>200</v>
      </c>
    </row>
    <row r="218" spans="15:27" x14ac:dyDescent="0.25">
      <c r="O218" s="4">
        <v>210</v>
      </c>
      <c r="P218" s="4">
        <f t="shared" si="23"/>
        <v>2338</v>
      </c>
      <c r="Q218" s="5">
        <f>'Manager Sheet'!U217</f>
        <v>485</v>
      </c>
      <c r="R218" s="5">
        <f t="shared" si="18"/>
        <v>485</v>
      </c>
      <c r="S218" s="5">
        <f t="shared" si="19"/>
        <v>0</v>
      </c>
      <c r="T218" s="5">
        <f t="shared" si="20"/>
        <v>1853</v>
      </c>
      <c r="U218" s="42">
        <f>T218*'Constants Sheet'!$E$13</f>
        <v>152.30136986301369</v>
      </c>
      <c r="V218" s="40">
        <f>IF(T218&lt;'Manager Sheet'!$E$11,'Manager Sheet'!$E$14,0)</f>
        <v>0</v>
      </c>
      <c r="W218" s="45">
        <f>IFERROR(VLOOKUP(V218,'Constants Sheet'!$H$11:$J$14,3,TRUE),0)</f>
        <v>0</v>
      </c>
      <c r="Y218" s="15">
        <f t="shared" si="21"/>
        <v>1853</v>
      </c>
      <c r="Z218">
        <f t="shared" si="22"/>
        <v>485</v>
      </c>
      <c r="AA218" s="16">
        <f>IF('Calculation Sheet'!$D$11,'Manager Sheet'!$E$11,NA())</f>
        <v>200</v>
      </c>
    </row>
    <row r="219" spans="15:27" x14ac:dyDescent="0.25">
      <c r="O219" s="4">
        <v>211</v>
      </c>
      <c r="P219" s="4">
        <f t="shared" si="23"/>
        <v>1853</v>
      </c>
      <c r="Q219" s="5">
        <f>'Manager Sheet'!U218</f>
        <v>731</v>
      </c>
      <c r="R219" s="5">
        <f t="shared" si="18"/>
        <v>731</v>
      </c>
      <c r="S219" s="5">
        <f t="shared" si="19"/>
        <v>0</v>
      </c>
      <c r="T219" s="5">
        <f t="shared" si="20"/>
        <v>1122</v>
      </c>
      <c r="U219" s="42">
        <f>T219*'Constants Sheet'!$E$13</f>
        <v>92.219178082191775</v>
      </c>
      <c r="V219" s="40">
        <f>IF(T219&lt;'Manager Sheet'!$E$11,'Manager Sheet'!$E$14,0)</f>
        <v>0</v>
      </c>
      <c r="W219" s="45">
        <f>IFERROR(VLOOKUP(V219,'Constants Sheet'!$H$11:$J$14,3,TRUE),0)</f>
        <v>0</v>
      </c>
      <c r="Y219" s="15">
        <f t="shared" si="21"/>
        <v>1122</v>
      </c>
      <c r="Z219">
        <f t="shared" si="22"/>
        <v>731</v>
      </c>
      <c r="AA219" s="16">
        <f>IF('Calculation Sheet'!$D$11,'Manager Sheet'!$E$11,NA())</f>
        <v>200</v>
      </c>
    </row>
    <row r="220" spans="15:27" x14ac:dyDescent="0.25">
      <c r="O220" s="4">
        <v>212</v>
      </c>
      <c r="P220" s="4">
        <f t="shared" si="23"/>
        <v>1122</v>
      </c>
      <c r="Q220" s="5">
        <f>'Manager Sheet'!U219</f>
        <v>568</v>
      </c>
      <c r="R220" s="5">
        <f t="shared" si="18"/>
        <v>568</v>
      </c>
      <c r="S220" s="5">
        <f t="shared" si="19"/>
        <v>0</v>
      </c>
      <c r="T220" s="5">
        <f t="shared" si="20"/>
        <v>554</v>
      </c>
      <c r="U220" s="42">
        <f>T220*'Constants Sheet'!$E$13</f>
        <v>45.534246575342465</v>
      </c>
      <c r="V220" s="40">
        <f>IF(T220&lt;'Manager Sheet'!$E$11,'Manager Sheet'!$E$14,0)</f>
        <v>0</v>
      </c>
      <c r="W220" s="45">
        <f>IFERROR(VLOOKUP(V220,'Constants Sheet'!$H$11:$J$14,3,TRUE),0)</f>
        <v>0</v>
      </c>
      <c r="Y220" s="15">
        <f t="shared" si="21"/>
        <v>554</v>
      </c>
      <c r="Z220">
        <f t="shared" si="22"/>
        <v>568</v>
      </c>
      <c r="AA220" s="16">
        <f>IF('Calculation Sheet'!$D$11,'Manager Sheet'!$E$11,NA())</f>
        <v>200</v>
      </c>
    </row>
    <row r="221" spans="15:27" x14ac:dyDescent="0.25">
      <c r="O221" s="4">
        <v>213</v>
      </c>
      <c r="P221" s="4">
        <f t="shared" si="23"/>
        <v>554</v>
      </c>
      <c r="Q221" s="5">
        <f>'Manager Sheet'!U220</f>
        <v>890</v>
      </c>
      <c r="R221" s="5">
        <f t="shared" si="18"/>
        <v>554</v>
      </c>
      <c r="S221" s="5">
        <f t="shared" si="19"/>
        <v>336</v>
      </c>
      <c r="T221" s="5">
        <f t="shared" si="20"/>
        <v>0</v>
      </c>
      <c r="U221" s="42">
        <f>T221*'Constants Sheet'!$E$13</f>
        <v>0</v>
      </c>
      <c r="V221" s="40">
        <f>IF(T221&lt;'Manager Sheet'!$E$11,'Manager Sheet'!$E$14,0)</f>
        <v>5000</v>
      </c>
      <c r="W221" s="45">
        <f>IFERROR(VLOOKUP(V221,'Constants Sheet'!$H$11:$J$14,3,TRUE),0)</f>
        <v>175</v>
      </c>
      <c r="Y221" s="15">
        <f t="shared" si="21"/>
        <v>0</v>
      </c>
      <c r="Z221">
        <f t="shared" si="22"/>
        <v>890</v>
      </c>
      <c r="AA221" s="16">
        <f>IF('Calculation Sheet'!$D$11,'Manager Sheet'!$E$11,NA())</f>
        <v>200</v>
      </c>
    </row>
    <row r="222" spans="15:27" x14ac:dyDescent="0.25">
      <c r="O222" s="4">
        <v>214</v>
      </c>
      <c r="P222" s="4">
        <f t="shared" si="23"/>
        <v>5000</v>
      </c>
      <c r="Q222" s="5">
        <f>'Manager Sheet'!U221</f>
        <v>523</v>
      </c>
      <c r="R222" s="5">
        <f t="shared" si="18"/>
        <v>523</v>
      </c>
      <c r="S222" s="5">
        <f t="shared" si="19"/>
        <v>0</v>
      </c>
      <c r="T222" s="5">
        <f t="shared" si="20"/>
        <v>4477</v>
      </c>
      <c r="U222" s="42">
        <f>T222*'Constants Sheet'!$E$13</f>
        <v>367.97260273972603</v>
      </c>
      <c r="V222" s="40">
        <f>IF(T222&lt;'Manager Sheet'!$E$11,'Manager Sheet'!$E$14,0)</f>
        <v>0</v>
      </c>
      <c r="W222" s="45">
        <f>IFERROR(VLOOKUP(V222,'Constants Sheet'!$H$11:$J$14,3,TRUE),0)</f>
        <v>0</v>
      </c>
      <c r="Y222" s="15">
        <f t="shared" si="21"/>
        <v>4477</v>
      </c>
      <c r="Z222">
        <f t="shared" si="22"/>
        <v>523</v>
      </c>
      <c r="AA222" s="16">
        <f>IF('Calculation Sheet'!$D$11,'Manager Sheet'!$E$11,NA())</f>
        <v>200</v>
      </c>
    </row>
    <row r="223" spans="15:27" x14ac:dyDescent="0.25">
      <c r="O223" s="4">
        <v>215</v>
      </c>
      <c r="P223" s="4">
        <f t="shared" si="23"/>
        <v>4477</v>
      </c>
      <c r="Q223" s="5">
        <f>'Manager Sheet'!U222</f>
        <v>469</v>
      </c>
      <c r="R223" s="5">
        <f t="shared" si="18"/>
        <v>469</v>
      </c>
      <c r="S223" s="5">
        <f t="shared" si="19"/>
        <v>0</v>
      </c>
      <c r="T223" s="5">
        <f t="shared" si="20"/>
        <v>4008</v>
      </c>
      <c r="U223" s="42">
        <f>T223*'Constants Sheet'!$E$13</f>
        <v>329.42465753424653</v>
      </c>
      <c r="V223" s="40">
        <f>IF(T223&lt;'Manager Sheet'!$E$11,'Manager Sheet'!$E$14,0)</f>
        <v>0</v>
      </c>
      <c r="W223" s="45">
        <f>IFERROR(VLOOKUP(V223,'Constants Sheet'!$H$11:$J$14,3,TRUE),0)</f>
        <v>0</v>
      </c>
      <c r="Y223" s="15">
        <f t="shared" si="21"/>
        <v>4008</v>
      </c>
      <c r="Z223">
        <f t="shared" si="22"/>
        <v>469</v>
      </c>
      <c r="AA223" s="16">
        <f>IF('Calculation Sheet'!$D$11,'Manager Sheet'!$E$11,NA())</f>
        <v>200</v>
      </c>
    </row>
    <row r="224" spans="15:27" x14ac:dyDescent="0.25">
      <c r="O224" s="4">
        <v>216</v>
      </c>
      <c r="P224" s="4">
        <f t="shared" si="23"/>
        <v>4008</v>
      </c>
      <c r="Q224" s="5">
        <f>'Manager Sheet'!U223</f>
        <v>452</v>
      </c>
      <c r="R224" s="5">
        <f t="shared" si="18"/>
        <v>452</v>
      </c>
      <c r="S224" s="5">
        <f t="shared" si="19"/>
        <v>0</v>
      </c>
      <c r="T224" s="5">
        <f t="shared" si="20"/>
        <v>3556</v>
      </c>
      <c r="U224" s="42">
        <f>T224*'Constants Sheet'!$E$13</f>
        <v>292.27397260273972</v>
      </c>
      <c r="V224" s="40">
        <f>IF(T224&lt;'Manager Sheet'!$E$11,'Manager Sheet'!$E$14,0)</f>
        <v>0</v>
      </c>
      <c r="W224" s="45">
        <f>IFERROR(VLOOKUP(V224,'Constants Sheet'!$H$11:$J$14,3,TRUE),0)</f>
        <v>0</v>
      </c>
      <c r="Y224" s="15">
        <f t="shared" si="21"/>
        <v>3556</v>
      </c>
      <c r="Z224">
        <f t="shared" si="22"/>
        <v>452</v>
      </c>
      <c r="AA224" s="16">
        <f>IF('Calculation Sheet'!$D$11,'Manager Sheet'!$E$11,NA())</f>
        <v>200</v>
      </c>
    </row>
    <row r="225" spans="15:27" x14ac:dyDescent="0.25">
      <c r="O225" s="4">
        <v>217</v>
      </c>
      <c r="P225" s="4">
        <f t="shared" si="23"/>
        <v>3556</v>
      </c>
      <c r="Q225" s="5">
        <f>'Manager Sheet'!U224</f>
        <v>385</v>
      </c>
      <c r="R225" s="5">
        <f t="shared" si="18"/>
        <v>385</v>
      </c>
      <c r="S225" s="5">
        <f t="shared" si="19"/>
        <v>0</v>
      </c>
      <c r="T225" s="5">
        <f t="shared" si="20"/>
        <v>3171</v>
      </c>
      <c r="U225" s="42">
        <f>T225*'Constants Sheet'!$E$13</f>
        <v>260.63013698630135</v>
      </c>
      <c r="V225" s="40">
        <f>IF(T225&lt;'Manager Sheet'!$E$11,'Manager Sheet'!$E$14,0)</f>
        <v>0</v>
      </c>
      <c r="W225" s="45">
        <f>IFERROR(VLOOKUP(V225,'Constants Sheet'!$H$11:$J$14,3,TRUE),0)</f>
        <v>0</v>
      </c>
      <c r="Y225" s="15">
        <f t="shared" si="21"/>
        <v>3171</v>
      </c>
      <c r="Z225">
        <f t="shared" si="22"/>
        <v>385</v>
      </c>
      <c r="AA225" s="16">
        <f>IF('Calculation Sheet'!$D$11,'Manager Sheet'!$E$11,NA())</f>
        <v>200</v>
      </c>
    </row>
    <row r="226" spans="15:27" x14ac:dyDescent="0.25">
      <c r="O226" s="4">
        <v>218</v>
      </c>
      <c r="P226" s="4">
        <f t="shared" si="23"/>
        <v>3171</v>
      </c>
      <c r="Q226" s="5">
        <f>'Manager Sheet'!U225</f>
        <v>526</v>
      </c>
      <c r="R226" s="5">
        <f t="shared" si="18"/>
        <v>526</v>
      </c>
      <c r="S226" s="5">
        <f t="shared" si="19"/>
        <v>0</v>
      </c>
      <c r="T226" s="5">
        <f t="shared" si="20"/>
        <v>2645</v>
      </c>
      <c r="U226" s="42">
        <f>T226*'Constants Sheet'!$E$13</f>
        <v>217.39726027397259</v>
      </c>
      <c r="V226" s="40">
        <f>IF(T226&lt;'Manager Sheet'!$E$11,'Manager Sheet'!$E$14,0)</f>
        <v>0</v>
      </c>
      <c r="W226" s="45">
        <f>IFERROR(VLOOKUP(V226,'Constants Sheet'!$H$11:$J$14,3,TRUE),0)</f>
        <v>0</v>
      </c>
      <c r="Y226" s="15">
        <f t="shared" si="21"/>
        <v>2645</v>
      </c>
      <c r="Z226">
        <f t="shared" si="22"/>
        <v>526</v>
      </c>
      <c r="AA226" s="16">
        <f>IF('Calculation Sheet'!$D$11,'Manager Sheet'!$E$11,NA())</f>
        <v>200</v>
      </c>
    </row>
    <row r="227" spans="15:27" x14ac:dyDescent="0.25">
      <c r="O227" s="4">
        <v>219</v>
      </c>
      <c r="P227" s="4">
        <f t="shared" si="23"/>
        <v>2645</v>
      </c>
      <c r="Q227" s="5">
        <f>'Manager Sheet'!U226</f>
        <v>808</v>
      </c>
      <c r="R227" s="5">
        <f t="shared" si="18"/>
        <v>808</v>
      </c>
      <c r="S227" s="5">
        <f t="shared" si="19"/>
        <v>0</v>
      </c>
      <c r="T227" s="5">
        <f t="shared" si="20"/>
        <v>1837</v>
      </c>
      <c r="U227" s="42">
        <f>T227*'Constants Sheet'!$E$13</f>
        <v>150.98630136986301</v>
      </c>
      <c r="V227" s="40">
        <f>IF(T227&lt;'Manager Sheet'!$E$11,'Manager Sheet'!$E$14,0)</f>
        <v>0</v>
      </c>
      <c r="W227" s="45">
        <f>IFERROR(VLOOKUP(V227,'Constants Sheet'!$H$11:$J$14,3,TRUE),0)</f>
        <v>0</v>
      </c>
      <c r="Y227" s="15">
        <f t="shared" si="21"/>
        <v>1837</v>
      </c>
      <c r="Z227">
        <f t="shared" si="22"/>
        <v>808</v>
      </c>
      <c r="AA227" s="16">
        <f>IF('Calculation Sheet'!$D$11,'Manager Sheet'!$E$11,NA())</f>
        <v>200</v>
      </c>
    </row>
    <row r="228" spans="15:27" x14ac:dyDescent="0.25">
      <c r="O228" s="4">
        <v>220</v>
      </c>
      <c r="P228" s="4">
        <f t="shared" si="23"/>
        <v>1837</v>
      </c>
      <c r="Q228" s="5">
        <f>'Manager Sheet'!U227</f>
        <v>414</v>
      </c>
      <c r="R228" s="5">
        <f t="shared" si="18"/>
        <v>414</v>
      </c>
      <c r="S228" s="5">
        <f t="shared" si="19"/>
        <v>0</v>
      </c>
      <c r="T228" s="5">
        <f t="shared" si="20"/>
        <v>1423</v>
      </c>
      <c r="U228" s="42">
        <f>T228*'Constants Sheet'!$E$13</f>
        <v>116.95890410958903</v>
      </c>
      <c r="V228" s="40">
        <f>IF(T228&lt;'Manager Sheet'!$E$11,'Manager Sheet'!$E$14,0)</f>
        <v>0</v>
      </c>
      <c r="W228" s="45">
        <f>IFERROR(VLOOKUP(V228,'Constants Sheet'!$H$11:$J$14,3,TRUE),0)</f>
        <v>0</v>
      </c>
      <c r="Y228" s="15">
        <f t="shared" si="21"/>
        <v>1423</v>
      </c>
      <c r="Z228">
        <f t="shared" si="22"/>
        <v>414</v>
      </c>
      <c r="AA228" s="16">
        <f>IF('Calculation Sheet'!$D$11,'Manager Sheet'!$E$11,NA())</f>
        <v>200</v>
      </c>
    </row>
    <row r="229" spans="15:27" x14ac:dyDescent="0.25">
      <c r="O229" s="4">
        <v>221</v>
      </c>
      <c r="P229" s="4">
        <f t="shared" si="23"/>
        <v>1423</v>
      </c>
      <c r="Q229" s="5">
        <f>'Manager Sheet'!U228</f>
        <v>385</v>
      </c>
      <c r="R229" s="5">
        <f t="shared" si="18"/>
        <v>385</v>
      </c>
      <c r="S229" s="5">
        <f t="shared" si="19"/>
        <v>0</v>
      </c>
      <c r="T229" s="5">
        <f t="shared" si="20"/>
        <v>1038</v>
      </c>
      <c r="U229" s="42">
        <f>T229*'Constants Sheet'!$E$13</f>
        <v>85.315068493150676</v>
      </c>
      <c r="V229" s="40">
        <f>IF(T229&lt;'Manager Sheet'!$E$11,'Manager Sheet'!$E$14,0)</f>
        <v>0</v>
      </c>
      <c r="W229" s="45">
        <f>IFERROR(VLOOKUP(V229,'Constants Sheet'!$H$11:$J$14,3,TRUE),0)</f>
        <v>0</v>
      </c>
      <c r="Y229" s="15">
        <f t="shared" si="21"/>
        <v>1038</v>
      </c>
      <c r="Z229">
        <f t="shared" si="22"/>
        <v>385</v>
      </c>
      <c r="AA229" s="16">
        <f>IF('Calculation Sheet'!$D$11,'Manager Sheet'!$E$11,NA())</f>
        <v>200</v>
      </c>
    </row>
    <row r="230" spans="15:27" x14ac:dyDescent="0.25">
      <c r="O230" s="4">
        <v>222</v>
      </c>
      <c r="P230" s="4">
        <f t="shared" si="23"/>
        <v>1038</v>
      </c>
      <c r="Q230" s="5">
        <f>'Manager Sheet'!U229</f>
        <v>547</v>
      </c>
      <c r="R230" s="5">
        <f t="shared" si="18"/>
        <v>547</v>
      </c>
      <c r="S230" s="5">
        <f t="shared" si="19"/>
        <v>0</v>
      </c>
      <c r="T230" s="5">
        <f t="shared" si="20"/>
        <v>491</v>
      </c>
      <c r="U230" s="42">
        <f>T230*'Constants Sheet'!$E$13</f>
        <v>40.356164383561641</v>
      </c>
      <c r="V230" s="40">
        <f>IF(T230&lt;'Manager Sheet'!$E$11,'Manager Sheet'!$E$14,0)</f>
        <v>0</v>
      </c>
      <c r="W230" s="45">
        <f>IFERROR(VLOOKUP(V230,'Constants Sheet'!$H$11:$J$14,3,TRUE),0)</f>
        <v>0</v>
      </c>
      <c r="Y230" s="15">
        <f t="shared" si="21"/>
        <v>491</v>
      </c>
      <c r="Z230">
        <f t="shared" si="22"/>
        <v>547</v>
      </c>
      <c r="AA230" s="16">
        <f>IF('Calculation Sheet'!$D$11,'Manager Sheet'!$E$11,NA())</f>
        <v>200</v>
      </c>
    </row>
    <row r="231" spans="15:27" x14ac:dyDescent="0.25">
      <c r="O231" s="4">
        <v>223</v>
      </c>
      <c r="P231" s="4">
        <f t="shared" si="23"/>
        <v>491</v>
      </c>
      <c r="Q231" s="5">
        <f>'Manager Sheet'!U230</f>
        <v>318</v>
      </c>
      <c r="R231" s="5">
        <f t="shared" si="18"/>
        <v>318</v>
      </c>
      <c r="S231" s="5">
        <f t="shared" si="19"/>
        <v>0</v>
      </c>
      <c r="T231" s="5">
        <f t="shared" si="20"/>
        <v>173</v>
      </c>
      <c r="U231" s="42">
        <f>T231*'Constants Sheet'!$E$13</f>
        <v>14.21917808219178</v>
      </c>
      <c r="V231" s="40">
        <f>IF(T231&lt;'Manager Sheet'!$E$11,'Manager Sheet'!$E$14,0)</f>
        <v>5000</v>
      </c>
      <c r="W231" s="45">
        <f>IFERROR(VLOOKUP(V231,'Constants Sheet'!$H$11:$J$14,3,TRUE),0)</f>
        <v>175</v>
      </c>
      <c r="Y231" s="15">
        <f t="shared" si="21"/>
        <v>173</v>
      </c>
      <c r="Z231">
        <f t="shared" si="22"/>
        <v>318</v>
      </c>
      <c r="AA231" s="16">
        <f>IF('Calculation Sheet'!$D$11,'Manager Sheet'!$E$11,NA())</f>
        <v>200</v>
      </c>
    </row>
    <row r="232" spans="15:27" x14ac:dyDescent="0.25">
      <c r="O232" s="4">
        <v>224</v>
      </c>
      <c r="P232" s="4">
        <f t="shared" si="23"/>
        <v>5173</v>
      </c>
      <c r="Q232" s="5">
        <f>'Manager Sheet'!U231</f>
        <v>238</v>
      </c>
      <c r="R232" s="5">
        <f t="shared" si="18"/>
        <v>238</v>
      </c>
      <c r="S232" s="5">
        <f t="shared" si="19"/>
        <v>0</v>
      </c>
      <c r="T232" s="5">
        <f t="shared" si="20"/>
        <v>4935</v>
      </c>
      <c r="U232" s="42">
        <f>T232*'Constants Sheet'!$E$13</f>
        <v>405.61643835616434</v>
      </c>
      <c r="V232" s="40">
        <f>IF(T232&lt;'Manager Sheet'!$E$11,'Manager Sheet'!$E$14,0)</f>
        <v>0</v>
      </c>
      <c r="W232" s="45">
        <f>IFERROR(VLOOKUP(V232,'Constants Sheet'!$H$11:$J$14,3,TRUE),0)</f>
        <v>0</v>
      </c>
      <c r="Y232" s="15">
        <f t="shared" si="21"/>
        <v>4935</v>
      </c>
      <c r="Z232">
        <f t="shared" si="22"/>
        <v>238</v>
      </c>
      <c r="AA232" s="16">
        <f>IF('Calculation Sheet'!$D$11,'Manager Sheet'!$E$11,NA())</f>
        <v>200</v>
      </c>
    </row>
    <row r="233" spans="15:27" x14ac:dyDescent="0.25">
      <c r="O233" s="4">
        <v>225</v>
      </c>
      <c r="P233" s="4">
        <f t="shared" si="23"/>
        <v>4935</v>
      </c>
      <c r="Q233" s="5">
        <f>'Manager Sheet'!U232</f>
        <v>460</v>
      </c>
      <c r="R233" s="5">
        <f t="shared" si="18"/>
        <v>460</v>
      </c>
      <c r="S233" s="5">
        <f t="shared" si="19"/>
        <v>0</v>
      </c>
      <c r="T233" s="5">
        <f t="shared" si="20"/>
        <v>4475</v>
      </c>
      <c r="U233" s="42">
        <f>T233*'Constants Sheet'!$E$13</f>
        <v>367.8082191780822</v>
      </c>
      <c r="V233" s="40">
        <f>IF(T233&lt;'Manager Sheet'!$E$11,'Manager Sheet'!$E$14,0)</f>
        <v>0</v>
      </c>
      <c r="W233" s="45">
        <f>IFERROR(VLOOKUP(V233,'Constants Sheet'!$H$11:$J$14,3,TRUE),0)</f>
        <v>0</v>
      </c>
      <c r="Y233" s="15">
        <f t="shared" si="21"/>
        <v>4475</v>
      </c>
      <c r="Z233">
        <f t="shared" si="22"/>
        <v>460</v>
      </c>
      <c r="AA233" s="16">
        <f>IF('Calculation Sheet'!$D$11,'Manager Sheet'!$E$11,NA())</f>
        <v>200</v>
      </c>
    </row>
    <row r="234" spans="15:27" x14ac:dyDescent="0.25">
      <c r="O234" s="4">
        <v>226</v>
      </c>
      <c r="P234" s="4">
        <f t="shared" si="23"/>
        <v>4475</v>
      </c>
      <c r="Q234" s="5">
        <f>'Manager Sheet'!U233</f>
        <v>574</v>
      </c>
      <c r="R234" s="5">
        <f t="shared" si="18"/>
        <v>574</v>
      </c>
      <c r="S234" s="5">
        <f t="shared" si="19"/>
        <v>0</v>
      </c>
      <c r="T234" s="5">
        <f t="shared" si="20"/>
        <v>3901</v>
      </c>
      <c r="U234" s="42">
        <f>T234*'Constants Sheet'!$E$13</f>
        <v>320.63013698630135</v>
      </c>
      <c r="V234" s="40">
        <f>IF(T234&lt;'Manager Sheet'!$E$11,'Manager Sheet'!$E$14,0)</f>
        <v>0</v>
      </c>
      <c r="W234" s="45">
        <f>IFERROR(VLOOKUP(V234,'Constants Sheet'!$H$11:$J$14,3,TRUE),0)</f>
        <v>0</v>
      </c>
      <c r="Y234" s="15">
        <f t="shared" si="21"/>
        <v>3901</v>
      </c>
      <c r="Z234">
        <f t="shared" si="22"/>
        <v>574</v>
      </c>
      <c r="AA234" s="16">
        <f>IF('Calculation Sheet'!$D$11,'Manager Sheet'!$E$11,NA())</f>
        <v>200</v>
      </c>
    </row>
    <row r="235" spans="15:27" x14ac:dyDescent="0.25">
      <c r="O235" s="4">
        <v>227</v>
      </c>
      <c r="P235" s="4">
        <f t="shared" si="23"/>
        <v>3901</v>
      </c>
      <c r="Q235" s="5">
        <f>'Manager Sheet'!U234</f>
        <v>480</v>
      </c>
      <c r="R235" s="5">
        <f t="shared" si="18"/>
        <v>480</v>
      </c>
      <c r="S235" s="5">
        <f t="shared" si="19"/>
        <v>0</v>
      </c>
      <c r="T235" s="5">
        <f t="shared" si="20"/>
        <v>3421</v>
      </c>
      <c r="U235" s="42">
        <f>T235*'Constants Sheet'!$E$13</f>
        <v>281.17808219178079</v>
      </c>
      <c r="V235" s="40">
        <f>IF(T235&lt;'Manager Sheet'!$E$11,'Manager Sheet'!$E$14,0)</f>
        <v>0</v>
      </c>
      <c r="W235" s="45">
        <f>IFERROR(VLOOKUP(V235,'Constants Sheet'!$H$11:$J$14,3,TRUE),0)</f>
        <v>0</v>
      </c>
      <c r="Y235" s="15">
        <f t="shared" si="21"/>
        <v>3421</v>
      </c>
      <c r="Z235">
        <f t="shared" si="22"/>
        <v>480</v>
      </c>
      <c r="AA235" s="16">
        <f>IF('Calculation Sheet'!$D$11,'Manager Sheet'!$E$11,NA())</f>
        <v>200</v>
      </c>
    </row>
    <row r="236" spans="15:27" x14ac:dyDescent="0.25">
      <c r="O236" s="4">
        <v>228</v>
      </c>
      <c r="P236" s="4">
        <f t="shared" si="23"/>
        <v>3421</v>
      </c>
      <c r="Q236" s="5">
        <f>'Manager Sheet'!U235</f>
        <v>334</v>
      </c>
      <c r="R236" s="5">
        <f t="shared" si="18"/>
        <v>334</v>
      </c>
      <c r="S236" s="5">
        <f t="shared" si="19"/>
        <v>0</v>
      </c>
      <c r="T236" s="5">
        <f t="shared" si="20"/>
        <v>3087</v>
      </c>
      <c r="U236" s="42">
        <f>T236*'Constants Sheet'!$E$13</f>
        <v>253.72602739726025</v>
      </c>
      <c r="V236" s="40">
        <f>IF(T236&lt;'Manager Sheet'!$E$11,'Manager Sheet'!$E$14,0)</f>
        <v>0</v>
      </c>
      <c r="W236" s="45">
        <f>IFERROR(VLOOKUP(V236,'Constants Sheet'!$H$11:$J$14,3,TRUE),0)</f>
        <v>0</v>
      </c>
      <c r="Y236" s="15">
        <f t="shared" si="21"/>
        <v>3087</v>
      </c>
      <c r="Z236">
        <f t="shared" si="22"/>
        <v>334</v>
      </c>
      <c r="AA236" s="16">
        <f>IF('Calculation Sheet'!$D$11,'Manager Sheet'!$E$11,NA())</f>
        <v>200</v>
      </c>
    </row>
    <row r="237" spans="15:27" x14ac:dyDescent="0.25">
      <c r="O237" s="4">
        <v>229</v>
      </c>
      <c r="P237" s="4">
        <f t="shared" si="23"/>
        <v>3087</v>
      </c>
      <c r="Q237" s="5">
        <f>'Manager Sheet'!U236</f>
        <v>466</v>
      </c>
      <c r="R237" s="5">
        <f t="shared" si="18"/>
        <v>466</v>
      </c>
      <c r="S237" s="5">
        <f t="shared" si="19"/>
        <v>0</v>
      </c>
      <c r="T237" s="5">
        <f t="shared" si="20"/>
        <v>2621</v>
      </c>
      <c r="U237" s="42">
        <f>T237*'Constants Sheet'!$E$13</f>
        <v>215.42465753424656</v>
      </c>
      <c r="V237" s="40">
        <f>IF(T237&lt;'Manager Sheet'!$E$11,'Manager Sheet'!$E$14,0)</f>
        <v>0</v>
      </c>
      <c r="W237" s="45">
        <f>IFERROR(VLOOKUP(V237,'Constants Sheet'!$H$11:$J$14,3,TRUE),0)</f>
        <v>0</v>
      </c>
      <c r="Y237" s="15">
        <f t="shared" si="21"/>
        <v>2621</v>
      </c>
      <c r="Z237">
        <f t="shared" si="22"/>
        <v>466</v>
      </c>
      <c r="AA237" s="16">
        <f>IF('Calculation Sheet'!$D$11,'Manager Sheet'!$E$11,NA())</f>
        <v>200</v>
      </c>
    </row>
    <row r="238" spans="15:27" x14ac:dyDescent="0.25">
      <c r="O238" s="4">
        <v>230</v>
      </c>
      <c r="P238" s="4">
        <f t="shared" si="23"/>
        <v>2621</v>
      </c>
      <c r="Q238" s="5">
        <f>'Manager Sheet'!U237</f>
        <v>591</v>
      </c>
      <c r="R238" s="5">
        <f t="shared" si="18"/>
        <v>591</v>
      </c>
      <c r="S238" s="5">
        <f t="shared" si="19"/>
        <v>0</v>
      </c>
      <c r="T238" s="5">
        <f t="shared" si="20"/>
        <v>2030</v>
      </c>
      <c r="U238" s="42">
        <f>T238*'Constants Sheet'!$E$13</f>
        <v>166.84931506849315</v>
      </c>
      <c r="V238" s="40">
        <f>IF(T238&lt;'Manager Sheet'!$E$11,'Manager Sheet'!$E$14,0)</f>
        <v>0</v>
      </c>
      <c r="W238" s="45">
        <f>IFERROR(VLOOKUP(V238,'Constants Sheet'!$H$11:$J$14,3,TRUE),0)</f>
        <v>0</v>
      </c>
      <c r="Y238" s="15">
        <f t="shared" si="21"/>
        <v>2030</v>
      </c>
      <c r="Z238">
        <f t="shared" si="22"/>
        <v>591</v>
      </c>
      <c r="AA238" s="16">
        <f>IF('Calculation Sheet'!$D$11,'Manager Sheet'!$E$11,NA())</f>
        <v>200</v>
      </c>
    </row>
    <row r="239" spans="15:27" x14ac:dyDescent="0.25">
      <c r="O239" s="4">
        <v>231</v>
      </c>
      <c r="P239" s="4">
        <f t="shared" si="23"/>
        <v>2030</v>
      </c>
      <c r="Q239" s="5">
        <f>'Manager Sheet'!U238</f>
        <v>349</v>
      </c>
      <c r="R239" s="5">
        <f t="shared" si="18"/>
        <v>349</v>
      </c>
      <c r="S239" s="5">
        <f t="shared" si="19"/>
        <v>0</v>
      </c>
      <c r="T239" s="5">
        <f t="shared" si="20"/>
        <v>1681</v>
      </c>
      <c r="U239" s="42">
        <f>T239*'Constants Sheet'!$E$13</f>
        <v>138.16438356164383</v>
      </c>
      <c r="V239" s="40">
        <f>IF(T239&lt;'Manager Sheet'!$E$11,'Manager Sheet'!$E$14,0)</f>
        <v>0</v>
      </c>
      <c r="W239" s="45">
        <f>IFERROR(VLOOKUP(V239,'Constants Sheet'!$H$11:$J$14,3,TRUE),0)</f>
        <v>0</v>
      </c>
      <c r="Y239" s="15">
        <f t="shared" si="21"/>
        <v>1681</v>
      </c>
      <c r="Z239">
        <f t="shared" si="22"/>
        <v>349</v>
      </c>
      <c r="AA239" s="16">
        <f>IF('Calculation Sheet'!$D$11,'Manager Sheet'!$E$11,NA())</f>
        <v>200</v>
      </c>
    </row>
    <row r="240" spans="15:27" x14ac:dyDescent="0.25">
      <c r="O240" s="4">
        <v>232</v>
      </c>
      <c r="P240" s="4">
        <f t="shared" si="23"/>
        <v>1681</v>
      </c>
      <c r="Q240" s="5">
        <f>'Manager Sheet'!U239</f>
        <v>519</v>
      </c>
      <c r="R240" s="5">
        <f t="shared" si="18"/>
        <v>519</v>
      </c>
      <c r="S240" s="5">
        <f t="shared" si="19"/>
        <v>0</v>
      </c>
      <c r="T240" s="5">
        <f t="shared" si="20"/>
        <v>1162</v>
      </c>
      <c r="U240" s="42">
        <f>T240*'Constants Sheet'!$E$13</f>
        <v>95.506849315068493</v>
      </c>
      <c r="V240" s="40">
        <f>IF(T240&lt;'Manager Sheet'!$E$11,'Manager Sheet'!$E$14,0)</f>
        <v>0</v>
      </c>
      <c r="W240" s="45">
        <f>IFERROR(VLOOKUP(V240,'Constants Sheet'!$H$11:$J$14,3,TRUE),0)</f>
        <v>0</v>
      </c>
      <c r="Y240" s="15">
        <f t="shared" si="21"/>
        <v>1162</v>
      </c>
      <c r="Z240">
        <f t="shared" si="22"/>
        <v>519</v>
      </c>
      <c r="AA240" s="16">
        <f>IF('Calculation Sheet'!$D$11,'Manager Sheet'!$E$11,NA())</f>
        <v>200</v>
      </c>
    </row>
    <row r="241" spans="15:27" x14ac:dyDescent="0.25">
      <c r="O241" s="4">
        <v>233</v>
      </c>
      <c r="P241" s="4">
        <f t="shared" si="23"/>
        <v>1162</v>
      </c>
      <c r="Q241" s="5">
        <f>'Manager Sheet'!U240</f>
        <v>451</v>
      </c>
      <c r="R241" s="5">
        <f t="shared" si="18"/>
        <v>451</v>
      </c>
      <c r="S241" s="5">
        <f t="shared" si="19"/>
        <v>0</v>
      </c>
      <c r="T241" s="5">
        <f t="shared" si="20"/>
        <v>711</v>
      </c>
      <c r="U241" s="42">
        <f>T241*'Constants Sheet'!$E$13</f>
        <v>58.438356164383556</v>
      </c>
      <c r="V241" s="40">
        <f>IF(T241&lt;'Manager Sheet'!$E$11,'Manager Sheet'!$E$14,0)</f>
        <v>0</v>
      </c>
      <c r="W241" s="45">
        <f>IFERROR(VLOOKUP(V241,'Constants Sheet'!$H$11:$J$14,3,TRUE),0)</f>
        <v>0</v>
      </c>
      <c r="Y241" s="15">
        <f t="shared" si="21"/>
        <v>711</v>
      </c>
      <c r="Z241">
        <f t="shared" si="22"/>
        <v>451</v>
      </c>
      <c r="AA241" s="16">
        <f>IF('Calculation Sheet'!$D$11,'Manager Sheet'!$E$11,NA())</f>
        <v>200</v>
      </c>
    </row>
    <row r="242" spans="15:27" x14ac:dyDescent="0.25">
      <c r="O242" s="4">
        <v>234</v>
      </c>
      <c r="P242" s="4">
        <f t="shared" si="23"/>
        <v>711</v>
      </c>
      <c r="Q242" s="5">
        <f>'Manager Sheet'!U241</f>
        <v>433</v>
      </c>
      <c r="R242" s="5">
        <f t="shared" si="18"/>
        <v>433</v>
      </c>
      <c r="S242" s="5">
        <f t="shared" si="19"/>
        <v>0</v>
      </c>
      <c r="T242" s="5">
        <f t="shared" si="20"/>
        <v>278</v>
      </c>
      <c r="U242" s="42">
        <f>T242*'Constants Sheet'!$E$13</f>
        <v>22.849315068493148</v>
      </c>
      <c r="V242" s="40">
        <f>IF(T242&lt;'Manager Sheet'!$E$11,'Manager Sheet'!$E$14,0)</f>
        <v>0</v>
      </c>
      <c r="W242" s="45">
        <f>IFERROR(VLOOKUP(V242,'Constants Sheet'!$H$11:$J$14,3,TRUE),0)</f>
        <v>0</v>
      </c>
      <c r="Y242" s="15">
        <f t="shared" si="21"/>
        <v>278</v>
      </c>
      <c r="Z242">
        <f t="shared" si="22"/>
        <v>433</v>
      </c>
      <c r="AA242" s="16">
        <f>IF('Calculation Sheet'!$D$11,'Manager Sheet'!$E$11,NA())</f>
        <v>200</v>
      </c>
    </row>
    <row r="243" spans="15:27" x14ac:dyDescent="0.25">
      <c r="O243" s="4">
        <v>235</v>
      </c>
      <c r="P243" s="4">
        <f t="shared" si="23"/>
        <v>278</v>
      </c>
      <c r="Q243" s="5">
        <f>'Manager Sheet'!U242</f>
        <v>875</v>
      </c>
      <c r="R243" s="5">
        <f t="shared" si="18"/>
        <v>278</v>
      </c>
      <c r="S243" s="5">
        <f t="shared" si="19"/>
        <v>597</v>
      </c>
      <c r="T243" s="5">
        <f t="shared" si="20"/>
        <v>0</v>
      </c>
      <c r="U243" s="42">
        <f>T243*'Constants Sheet'!$E$13</f>
        <v>0</v>
      </c>
      <c r="V243" s="40">
        <f>IF(T243&lt;'Manager Sheet'!$E$11,'Manager Sheet'!$E$14,0)</f>
        <v>5000</v>
      </c>
      <c r="W243" s="45">
        <f>IFERROR(VLOOKUP(V243,'Constants Sheet'!$H$11:$J$14,3,TRUE),0)</f>
        <v>175</v>
      </c>
      <c r="Y243" s="15">
        <f t="shared" si="21"/>
        <v>0</v>
      </c>
      <c r="Z243">
        <f t="shared" si="22"/>
        <v>875</v>
      </c>
      <c r="AA243" s="16">
        <f>IF('Calculation Sheet'!$D$11,'Manager Sheet'!$E$11,NA())</f>
        <v>200</v>
      </c>
    </row>
    <row r="244" spans="15:27" x14ac:dyDescent="0.25">
      <c r="O244" s="4">
        <v>236</v>
      </c>
      <c r="P244" s="4">
        <f t="shared" si="23"/>
        <v>5000</v>
      </c>
      <c r="Q244" s="5">
        <f>'Manager Sheet'!U243</f>
        <v>528</v>
      </c>
      <c r="R244" s="5">
        <f t="shared" si="18"/>
        <v>528</v>
      </c>
      <c r="S244" s="5">
        <f t="shared" si="19"/>
        <v>0</v>
      </c>
      <c r="T244" s="5">
        <f t="shared" si="20"/>
        <v>4472</v>
      </c>
      <c r="U244" s="42">
        <f>T244*'Constants Sheet'!$E$13</f>
        <v>367.56164383561639</v>
      </c>
      <c r="V244" s="40">
        <f>IF(T244&lt;'Manager Sheet'!$E$11,'Manager Sheet'!$E$14,0)</f>
        <v>0</v>
      </c>
      <c r="W244" s="45">
        <f>IFERROR(VLOOKUP(V244,'Constants Sheet'!$H$11:$J$14,3,TRUE),0)</f>
        <v>0</v>
      </c>
      <c r="Y244" s="15">
        <f t="shared" si="21"/>
        <v>4472</v>
      </c>
      <c r="Z244">
        <f t="shared" si="22"/>
        <v>528</v>
      </c>
      <c r="AA244" s="16">
        <f>IF('Calculation Sheet'!$D$11,'Manager Sheet'!$E$11,NA())</f>
        <v>200</v>
      </c>
    </row>
    <row r="245" spans="15:27" x14ac:dyDescent="0.25">
      <c r="O245" s="4">
        <v>237</v>
      </c>
      <c r="P245" s="4">
        <f t="shared" si="23"/>
        <v>4472</v>
      </c>
      <c r="Q245" s="5">
        <f>'Manager Sheet'!U244</f>
        <v>332</v>
      </c>
      <c r="R245" s="5">
        <f t="shared" si="18"/>
        <v>332</v>
      </c>
      <c r="S245" s="5">
        <f t="shared" si="19"/>
        <v>0</v>
      </c>
      <c r="T245" s="5">
        <f t="shared" si="20"/>
        <v>4140</v>
      </c>
      <c r="U245" s="42">
        <f>T245*'Constants Sheet'!$E$13</f>
        <v>340.27397260273972</v>
      </c>
      <c r="V245" s="40">
        <f>IF(T245&lt;'Manager Sheet'!$E$11,'Manager Sheet'!$E$14,0)</f>
        <v>0</v>
      </c>
      <c r="W245" s="45">
        <f>IFERROR(VLOOKUP(V245,'Constants Sheet'!$H$11:$J$14,3,TRUE),0)</f>
        <v>0</v>
      </c>
      <c r="Y245" s="15">
        <f t="shared" si="21"/>
        <v>4140</v>
      </c>
      <c r="Z245">
        <f t="shared" si="22"/>
        <v>332</v>
      </c>
      <c r="AA245" s="16">
        <f>IF('Calculation Sheet'!$D$11,'Manager Sheet'!$E$11,NA())</f>
        <v>200</v>
      </c>
    </row>
    <row r="246" spans="15:27" x14ac:dyDescent="0.25">
      <c r="O246" s="4">
        <v>238</v>
      </c>
      <c r="P246" s="4">
        <f t="shared" si="23"/>
        <v>4140</v>
      </c>
      <c r="Q246" s="5">
        <f>'Manager Sheet'!U245</f>
        <v>435</v>
      </c>
      <c r="R246" s="5">
        <f t="shared" si="18"/>
        <v>435</v>
      </c>
      <c r="S246" s="5">
        <f t="shared" si="19"/>
        <v>0</v>
      </c>
      <c r="T246" s="5">
        <f t="shared" si="20"/>
        <v>3705</v>
      </c>
      <c r="U246" s="42">
        <f>T246*'Constants Sheet'!$E$13</f>
        <v>304.52054794520546</v>
      </c>
      <c r="V246" s="40">
        <f>IF(T246&lt;'Manager Sheet'!$E$11,'Manager Sheet'!$E$14,0)</f>
        <v>0</v>
      </c>
      <c r="W246" s="45">
        <f>IFERROR(VLOOKUP(V246,'Constants Sheet'!$H$11:$J$14,3,TRUE),0)</f>
        <v>0</v>
      </c>
      <c r="Y246" s="15">
        <f t="shared" si="21"/>
        <v>3705</v>
      </c>
      <c r="Z246">
        <f t="shared" si="22"/>
        <v>435</v>
      </c>
      <c r="AA246" s="16">
        <f>IF('Calculation Sheet'!$D$11,'Manager Sheet'!$E$11,NA())</f>
        <v>200</v>
      </c>
    </row>
    <row r="247" spans="15:27" x14ac:dyDescent="0.25">
      <c r="O247" s="4">
        <v>239</v>
      </c>
      <c r="P247" s="4">
        <f t="shared" si="23"/>
        <v>3705</v>
      </c>
      <c r="Q247" s="5">
        <f>'Manager Sheet'!U246</f>
        <v>651</v>
      </c>
      <c r="R247" s="5">
        <f t="shared" si="18"/>
        <v>651</v>
      </c>
      <c r="S247" s="5">
        <f t="shared" si="19"/>
        <v>0</v>
      </c>
      <c r="T247" s="5">
        <f t="shared" si="20"/>
        <v>3054</v>
      </c>
      <c r="U247" s="42">
        <f>T247*'Constants Sheet'!$E$13</f>
        <v>251.01369863013699</v>
      </c>
      <c r="V247" s="40">
        <f>IF(T247&lt;'Manager Sheet'!$E$11,'Manager Sheet'!$E$14,0)</f>
        <v>0</v>
      </c>
      <c r="W247" s="45">
        <f>IFERROR(VLOOKUP(V247,'Constants Sheet'!$H$11:$J$14,3,TRUE),0)</f>
        <v>0</v>
      </c>
      <c r="Y247" s="15">
        <f t="shared" si="21"/>
        <v>3054</v>
      </c>
      <c r="Z247">
        <f t="shared" si="22"/>
        <v>651</v>
      </c>
      <c r="AA247" s="16">
        <f>IF('Calculation Sheet'!$D$11,'Manager Sheet'!$E$11,NA())</f>
        <v>200</v>
      </c>
    </row>
    <row r="248" spans="15:27" x14ac:dyDescent="0.25">
      <c r="O248" s="4">
        <v>240</v>
      </c>
      <c r="P248" s="4">
        <f t="shared" si="23"/>
        <v>3054</v>
      </c>
      <c r="Q248" s="5">
        <f>'Manager Sheet'!U247</f>
        <v>387</v>
      </c>
      <c r="R248" s="5">
        <f t="shared" si="18"/>
        <v>387</v>
      </c>
      <c r="S248" s="5">
        <f t="shared" si="19"/>
        <v>0</v>
      </c>
      <c r="T248" s="5">
        <f t="shared" si="20"/>
        <v>2667</v>
      </c>
      <c r="U248" s="42">
        <f>T248*'Constants Sheet'!$E$13</f>
        <v>219.20547945205479</v>
      </c>
      <c r="V248" s="40">
        <f>IF(T248&lt;'Manager Sheet'!$E$11,'Manager Sheet'!$E$14,0)</f>
        <v>0</v>
      </c>
      <c r="W248" s="45">
        <f>IFERROR(VLOOKUP(V248,'Constants Sheet'!$H$11:$J$14,3,TRUE),0)</f>
        <v>0</v>
      </c>
      <c r="Y248" s="15">
        <f t="shared" si="21"/>
        <v>2667</v>
      </c>
      <c r="Z248">
        <f t="shared" si="22"/>
        <v>387</v>
      </c>
      <c r="AA248" s="16">
        <f>IF('Calculation Sheet'!$D$11,'Manager Sheet'!$E$11,NA())</f>
        <v>200</v>
      </c>
    </row>
    <row r="249" spans="15:27" x14ac:dyDescent="0.25">
      <c r="O249" s="4">
        <v>241</v>
      </c>
      <c r="P249" s="4">
        <f t="shared" si="23"/>
        <v>2667</v>
      </c>
      <c r="Q249" s="5">
        <f>'Manager Sheet'!U248</f>
        <v>438</v>
      </c>
      <c r="R249" s="5">
        <f t="shared" si="18"/>
        <v>438</v>
      </c>
      <c r="S249" s="5">
        <f t="shared" si="19"/>
        <v>0</v>
      </c>
      <c r="T249" s="5">
        <f t="shared" si="20"/>
        <v>2229</v>
      </c>
      <c r="U249" s="42">
        <f>T249*'Constants Sheet'!$E$13</f>
        <v>183.20547945205479</v>
      </c>
      <c r="V249" s="40">
        <f>IF(T249&lt;'Manager Sheet'!$E$11,'Manager Sheet'!$E$14,0)</f>
        <v>0</v>
      </c>
      <c r="W249" s="45">
        <f>IFERROR(VLOOKUP(V249,'Constants Sheet'!$H$11:$J$14,3,TRUE),0)</f>
        <v>0</v>
      </c>
      <c r="Y249" s="15">
        <f t="shared" si="21"/>
        <v>2229</v>
      </c>
      <c r="Z249">
        <f t="shared" si="22"/>
        <v>438</v>
      </c>
      <c r="AA249" s="16">
        <f>IF('Calculation Sheet'!$D$11,'Manager Sheet'!$E$11,NA())</f>
        <v>200</v>
      </c>
    </row>
    <row r="250" spans="15:27" x14ac:dyDescent="0.25">
      <c r="O250" s="4">
        <v>242</v>
      </c>
      <c r="P250" s="4">
        <f t="shared" si="23"/>
        <v>2229</v>
      </c>
      <c r="Q250" s="5">
        <f>'Manager Sheet'!U249</f>
        <v>563</v>
      </c>
      <c r="R250" s="5">
        <f t="shared" si="18"/>
        <v>563</v>
      </c>
      <c r="S250" s="5">
        <f t="shared" si="19"/>
        <v>0</v>
      </c>
      <c r="T250" s="5">
        <f t="shared" si="20"/>
        <v>1666</v>
      </c>
      <c r="U250" s="42">
        <f>T250*'Constants Sheet'!$E$13</f>
        <v>136.93150684931507</v>
      </c>
      <c r="V250" s="40">
        <f>IF(T250&lt;'Manager Sheet'!$E$11,'Manager Sheet'!$E$14,0)</f>
        <v>0</v>
      </c>
      <c r="W250" s="45">
        <f>IFERROR(VLOOKUP(V250,'Constants Sheet'!$H$11:$J$14,3,TRUE),0)</f>
        <v>0</v>
      </c>
      <c r="Y250" s="15">
        <f t="shared" si="21"/>
        <v>1666</v>
      </c>
      <c r="Z250">
        <f t="shared" si="22"/>
        <v>563</v>
      </c>
      <c r="AA250" s="16">
        <f>IF('Calculation Sheet'!$D$11,'Manager Sheet'!$E$11,NA())</f>
        <v>200</v>
      </c>
    </row>
    <row r="251" spans="15:27" x14ac:dyDescent="0.25">
      <c r="O251" s="4">
        <v>243</v>
      </c>
      <c r="P251" s="4">
        <f t="shared" si="23"/>
        <v>1666</v>
      </c>
      <c r="Q251" s="5">
        <f>'Manager Sheet'!U250</f>
        <v>502</v>
      </c>
      <c r="R251" s="5">
        <f t="shared" si="18"/>
        <v>502</v>
      </c>
      <c r="S251" s="5">
        <f t="shared" si="19"/>
        <v>0</v>
      </c>
      <c r="T251" s="5">
        <f t="shared" si="20"/>
        <v>1164</v>
      </c>
      <c r="U251" s="42">
        <f>T251*'Constants Sheet'!$E$13</f>
        <v>95.671232876712324</v>
      </c>
      <c r="V251" s="40">
        <f>IF(T251&lt;'Manager Sheet'!$E$11,'Manager Sheet'!$E$14,0)</f>
        <v>0</v>
      </c>
      <c r="W251" s="45">
        <f>IFERROR(VLOOKUP(V251,'Constants Sheet'!$H$11:$J$14,3,TRUE),0)</f>
        <v>0</v>
      </c>
      <c r="Y251" s="15">
        <f t="shared" si="21"/>
        <v>1164</v>
      </c>
      <c r="Z251">
        <f t="shared" si="22"/>
        <v>502</v>
      </c>
      <c r="AA251" s="16">
        <f>IF('Calculation Sheet'!$D$11,'Manager Sheet'!$E$11,NA())</f>
        <v>200</v>
      </c>
    </row>
    <row r="252" spans="15:27" x14ac:dyDescent="0.25">
      <c r="O252" s="4">
        <v>244</v>
      </c>
      <c r="P252" s="4">
        <f t="shared" si="23"/>
        <v>1164</v>
      </c>
      <c r="Q252" s="5">
        <f>'Manager Sheet'!U251</f>
        <v>553</v>
      </c>
      <c r="R252" s="5">
        <f t="shared" si="18"/>
        <v>553</v>
      </c>
      <c r="S252" s="5">
        <f t="shared" si="19"/>
        <v>0</v>
      </c>
      <c r="T252" s="5">
        <f t="shared" si="20"/>
        <v>611</v>
      </c>
      <c r="U252" s="42">
        <f>T252*'Constants Sheet'!$E$13</f>
        <v>50.219178082191775</v>
      </c>
      <c r="V252" s="40">
        <f>IF(T252&lt;'Manager Sheet'!$E$11,'Manager Sheet'!$E$14,0)</f>
        <v>0</v>
      </c>
      <c r="W252" s="45">
        <f>IFERROR(VLOOKUP(V252,'Constants Sheet'!$H$11:$J$14,3,TRUE),0)</f>
        <v>0</v>
      </c>
      <c r="Y252" s="15">
        <f t="shared" si="21"/>
        <v>611</v>
      </c>
      <c r="Z252">
        <f t="shared" si="22"/>
        <v>553</v>
      </c>
      <c r="AA252" s="16">
        <f>IF('Calculation Sheet'!$D$11,'Manager Sheet'!$E$11,NA())</f>
        <v>200</v>
      </c>
    </row>
    <row r="253" spans="15:27" x14ac:dyDescent="0.25">
      <c r="O253" s="4">
        <v>245</v>
      </c>
      <c r="P253" s="4">
        <f t="shared" si="23"/>
        <v>611</v>
      </c>
      <c r="Q253" s="5">
        <f>'Manager Sheet'!U252</f>
        <v>407</v>
      </c>
      <c r="R253" s="5">
        <f t="shared" si="18"/>
        <v>407</v>
      </c>
      <c r="S253" s="5">
        <f t="shared" si="19"/>
        <v>0</v>
      </c>
      <c r="T253" s="5">
        <f t="shared" si="20"/>
        <v>204</v>
      </c>
      <c r="U253" s="42">
        <f>T253*'Constants Sheet'!$E$13</f>
        <v>16.767123287671232</v>
      </c>
      <c r="V253" s="40">
        <f>IF(T253&lt;'Manager Sheet'!$E$11,'Manager Sheet'!$E$14,0)</f>
        <v>0</v>
      </c>
      <c r="W253" s="45">
        <f>IFERROR(VLOOKUP(V253,'Constants Sheet'!$H$11:$J$14,3,TRUE),0)</f>
        <v>0</v>
      </c>
      <c r="Y253" s="15">
        <f t="shared" si="21"/>
        <v>204</v>
      </c>
      <c r="Z253">
        <f t="shared" si="22"/>
        <v>407</v>
      </c>
      <c r="AA253" s="16">
        <f>IF('Calculation Sheet'!$D$11,'Manager Sheet'!$E$11,NA())</f>
        <v>200</v>
      </c>
    </row>
    <row r="254" spans="15:27" x14ac:dyDescent="0.25">
      <c r="O254" s="4">
        <v>246</v>
      </c>
      <c r="P254" s="4">
        <f t="shared" si="23"/>
        <v>204</v>
      </c>
      <c r="Q254" s="5">
        <f>'Manager Sheet'!U253</f>
        <v>412</v>
      </c>
      <c r="R254" s="5">
        <f t="shared" si="18"/>
        <v>204</v>
      </c>
      <c r="S254" s="5">
        <f t="shared" si="19"/>
        <v>208</v>
      </c>
      <c r="T254" s="5">
        <f t="shared" si="20"/>
        <v>0</v>
      </c>
      <c r="U254" s="42">
        <f>T254*'Constants Sheet'!$E$13</f>
        <v>0</v>
      </c>
      <c r="V254" s="40">
        <f>IF(T254&lt;'Manager Sheet'!$E$11,'Manager Sheet'!$E$14,0)</f>
        <v>5000</v>
      </c>
      <c r="W254" s="45">
        <f>IFERROR(VLOOKUP(V254,'Constants Sheet'!$H$11:$J$14,3,TRUE),0)</f>
        <v>175</v>
      </c>
      <c r="Y254" s="15">
        <f t="shared" si="21"/>
        <v>0</v>
      </c>
      <c r="Z254">
        <f t="shared" si="22"/>
        <v>412</v>
      </c>
      <c r="AA254" s="16">
        <f>IF('Calculation Sheet'!$D$11,'Manager Sheet'!$E$11,NA())</f>
        <v>200</v>
      </c>
    </row>
    <row r="255" spans="15:27" x14ac:dyDescent="0.25">
      <c r="O255" s="4">
        <v>247</v>
      </c>
      <c r="P255" s="4">
        <f t="shared" si="23"/>
        <v>5000</v>
      </c>
      <c r="Q255" s="5">
        <f>'Manager Sheet'!U254</f>
        <v>491</v>
      </c>
      <c r="R255" s="5">
        <f t="shared" si="18"/>
        <v>491</v>
      </c>
      <c r="S255" s="5">
        <f t="shared" si="19"/>
        <v>0</v>
      </c>
      <c r="T255" s="5">
        <f t="shared" si="20"/>
        <v>4509</v>
      </c>
      <c r="U255" s="42">
        <f>T255*'Constants Sheet'!$E$13</f>
        <v>370.60273972602738</v>
      </c>
      <c r="V255" s="40">
        <f>IF(T255&lt;'Manager Sheet'!$E$11,'Manager Sheet'!$E$14,0)</f>
        <v>0</v>
      </c>
      <c r="W255" s="45">
        <f>IFERROR(VLOOKUP(V255,'Constants Sheet'!$H$11:$J$14,3,TRUE),0)</f>
        <v>0</v>
      </c>
      <c r="Y255" s="15">
        <f t="shared" si="21"/>
        <v>4509</v>
      </c>
      <c r="Z255">
        <f t="shared" si="22"/>
        <v>491</v>
      </c>
      <c r="AA255" s="16">
        <f>IF('Calculation Sheet'!$D$11,'Manager Sheet'!$E$11,NA())</f>
        <v>200</v>
      </c>
    </row>
    <row r="256" spans="15:27" x14ac:dyDescent="0.25">
      <c r="O256" s="4">
        <v>248</v>
      </c>
      <c r="P256" s="4">
        <f t="shared" si="23"/>
        <v>4509</v>
      </c>
      <c r="Q256" s="5">
        <f>'Manager Sheet'!U255</f>
        <v>537</v>
      </c>
      <c r="R256" s="5">
        <f t="shared" si="18"/>
        <v>537</v>
      </c>
      <c r="S256" s="5">
        <f t="shared" si="19"/>
        <v>0</v>
      </c>
      <c r="T256" s="5">
        <f t="shared" si="20"/>
        <v>3972</v>
      </c>
      <c r="U256" s="42">
        <f>T256*'Constants Sheet'!$E$13</f>
        <v>326.46575342465752</v>
      </c>
      <c r="V256" s="40">
        <f>IF(T256&lt;'Manager Sheet'!$E$11,'Manager Sheet'!$E$14,0)</f>
        <v>0</v>
      </c>
      <c r="W256" s="45">
        <f>IFERROR(VLOOKUP(V256,'Constants Sheet'!$H$11:$J$14,3,TRUE),0)</f>
        <v>0</v>
      </c>
      <c r="Y256" s="15">
        <f t="shared" si="21"/>
        <v>3972</v>
      </c>
      <c r="Z256">
        <f t="shared" si="22"/>
        <v>537</v>
      </c>
      <c r="AA256" s="16">
        <f>IF('Calculation Sheet'!$D$11,'Manager Sheet'!$E$11,NA())</f>
        <v>200</v>
      </c>
    </row>
    <row r="257" spans="15:27" x14ac:dyDescent="0.25">
      <c r="O257" s="4">
        <v>249</v>
      </c>
      <c r="P257" s="4">
        <f t="shared" si="23"/>
        <v>3972</v>
      </c>
      <c r="Q257" s="5">
        <f>'Manager Sheet'!U256</f>
        <v>387</v>
      </c>
      <c r="R257" s="5">
        <f t="shared" si="18"/>
        <v>387</v>
      </c>
      <c r="S257" s="5">
        <f t="shared" si="19"/>
        <v>0</v>
      </c>
      <c r="T257" s="5">
        <f t="shared" si="20"/>
        <v>3585</v>
      </c>
      <c r="U257" s="42">
        <f>T257*'Constants Sheet'!$E$13</f>
        <v>294.65753424657532</v>
      </c>
      <c r="V257" s="40">
        <f>IF(T257&lt;'Manager Sheet'!$E$11,'Manager Sheet'!$E$14,0)</f>
        <v>0</v>
      </c>
      <c r="W257" s="45">
        <f>IFERROR(VLOOKUP(V257,'Constants Sheet'!$H$11:$J$14,3,TRUE),0)</f>
        <v>0</v>
      </c>
      <c r="Y257" s="15">
        <f t="shared" si="21"/>
        <v>3585</v>
      </c>
      <c r="Z257">
        <f t="shared" si="22"/>
        <v>387</v>
      </c>
      <c r="AA257" s="16">
        <f>IF('Calculation Sheet'!$D$11,'Manager Sheet'!$E$11,NA())</f>
        <v>200</v>
      </c>
    </row>
    <row r="258" spans="15:27" x14ac:dyDescent="0.25">
      <c r="O258" s="4">
        <v>250</v>
      </c>
      <c r="P258" s="4">
        <f t="shared" si="23"/>
        <v>3585</v>
      </c>
      <c r="Q258" s="5">
        <f>'Manager Sheet'!U257</f>
        <v>594</v>
      </c>
      <c r="R258" s="5">
        <f t="shared" si="18"/>
        <v>594</v>
      </c>
      <c r="S258" s="5">
        <f t="shared" si="19"/>
        <v>0</v>
      </c>
      <c r="T258" s="5">
        <f t="shared" si="20"/>
        <v>2991</v>
      </c>
      <c r="U258" s="42">
        <f>T258*'Constants Sheet'!$E$13</f>
        <v>245.83561643835614</v>
      </c>
      <c r="V258" s="40">
        <f>IF(T258&lt;'Manager Sheet'!$E$11,'Manager Sheet'!$E$14,0)</f>
        <v>0</v>
      </c>
      <c r="W258" s="45">
        <f>IFERROR(VLOOKUP(V258,'Constants Sheet'!$H$11:$J$14,3,TRUE),0)</f>
        <v>0</v>
      </c>
      <c r="Y258" s="15">
        <f t="shared" si="21"/>
        <v>2991</v>
      </c>
      <c r="Z258">
        <f t="shared" si="22"/>
        <v>594</v>
      </c>
      <c r="AA258" s="16">
        <f>IF('Calculation Sheet'!$D$11,'Manager Sheet'!$E$11,NA())</f>
        <v>200</v>
      </c>
    </row>
    <row r="259" spans="15:27" x14ac:dyDescent="0.25">
      <c r="O259" s="4">
        <v>251</v>
      </c>
      <c r="P259" s="4">
        <f t="shared" si="23"/>
        <v>2991</v>
      </c>
      <c r="Q259" s="5">
        <f>'Manager Sheet'!U258</f>
        <v>722</v>
      </c>
      <c r="R259" s="5">
        <f t="shared" si="18"/>
        <v>722</v>
      </c>
      <c r="S259" s="5">
        <f t="shared" si="19"/>
        <v>0</v>
      </c>
      <c r="T259" s="5">
        <f t="shared" si="20"/>
        <v>2269</v>
      </c>
      <c r="U259" s="42">
        <f>T259*'Constants Sheet'!$E$13</f>
        <v>186.49315068493149</v>
      </c>
      <c r="V259" s="40">
        <f>IF(T259&lt;'Manager Sheet'!$E$11,'Manager Sheet'!$E$14,0)</f>
        <v>0</v>
      </c>
      <c r="W259" s="45">
        <f>IFERROR(VLOOKUP(V259,'Constants Sheet'!$H$11:$J$14,3,TRUE),0)</f>
        <v>0</v>
      </c>
      <c r="Y259" s="15">
        <f t="shared" si="21"/>
        <v>2269</v>
      </c>
      <c r="Z259">
        <f t="shared" si="22"/>
        <v>722</v>
      </c>
      <c r="AA259" s="16">
        <f>IF('Calculation Sheet'!$D$11,'Manager Sheet'!$E$11,NA())</f>
        <v>200</v>
      </c>
    </row>
    <row r="260" spans="15:27" x14ac:dyDescent="0.25">
      <c r="O260" s="4">
        <v>252</v>
      </c>
      <c r="P260" s="4">
        <f t="shared" si="23"/>
        <v>2269</v>
      </c>
      <c r="Q260" s="5">
        <f>'Manager Sheet'!U259</f>
        <v>407</v>
      </c>
      <c r="R260" s="5">
        <f t="shared" si="18"/>
        <v>407</v>
      </c>
      <c r="S260" s="5">
        <f t="shared" si="19"/>
        <v>0</v>
      </c>
      <c r="T260" s="5">
        <f t="shared" si="20"/>
        <v>1862</v>
      </c>
      <c r="U260" s="42">
        <f>T260*'Constants Sheet'!$E$13</f>
        <v>153.04109589041096</v>
      </c>
      <c r="V260" s="40">
        <f>IF(T260&lt;'Manager Sheet'!$E$11,'Manager Sheet'!$E$14,0)</f>
        <v>0</v>
      </c>
      <c r="W260" s="45">
        <f>IFERROR(VLOOKUP(V260,'Constants Sheet'!$H$11:$J$14,3,TRUE),0)</f>
        <v>0</v>
      </c>
      <c r="Y260" s="15">
        <f t="shared" si="21"/>
        <v>1862</v>
      </c>
      <c r="Z260">
        <f t="shared" si="22"/>
        <v>407</v>
      </c>
      <c r="AA260" s="16">
        <f>IF('Calculation Sheet'!$D$11,'Manager Sheet'!$E$11,NA())</f>
        <v>200</v>
      </c>
    </row>
    <row r="261" spans="15:27" x14ac:dyDescent="0.25">
      <c r="O261" s="4">
        <v>253</v>
      </c>
      <c r="P261" s="4">
        <f t="shared" si="23"/>
        <v>1862</v>
      </c>
      <c r="Q261" s="5">
        <f>'Manager Sheet'!U260</f>
        <v>604</v>
      </c>
      <c r="R261" s="5">
        <f t="shared" si="18"/>
        <v>604</v>
      </c>
      <c r="S261" s="5">
        <f t="shared" si="19"/>
        <v>0</v>
      </c>
      <c r="T261" s="5">
        <f t="shared" si="20"/>
        <v>1258</v>
      </c>
      <c r="U261" s="42">
        <f>T261*'Constants Sheet'!$E$13</f>
        <v>103.39726027397259</v>
      </c>
      <c r="V261" s="40">
        <f>IF(T261&lt;'Manager Sheet'!$E$11,'Manager Sheet'!$E$14,0)</f>
        <v>0</v>
      </c>
      <c r="W261" s="45">
        <f>IFERROR(VLOOKUP(V261,'Constants Sheet'!$H$11:$J$14,3,TRUE),0)</f>
        <v>0</v>
      </c>
      <c r="Y261" s="15">
        <f t="shared" si="21"/>
        <v>1258</v>
      </c>
      <c r="Z261">
        <f t="shared" si="22"/>
        <v>604</v>
      </c>
      <c r="AA261" s="16">
        <f>IF('Calculation Sheet'!$D$11,'Manager Sheet'!$E$11,NA())</f>
        <v>200</v>
      </c>
    </row>
    <row r="262" spans="15:27" x14ac:dyDescent="0.25">
      <c r="O262" s="4">
        <v>254</v>
      </c>
      <c r="P262" s="4">
        <f t="shared" si="23"/>
        <v>1258</v>
      </c>
      <c r="Q262" s="5">
        <f>'Manager Sheet'!U261</f>
        <v>200</v>
      </c>
      <c r="R262" s="5">
        <f t="shared" si="18"/>
        <v>200</v>
      </c>
      <c r="S262" s="5">
        <f t="shared" si="19"/>
        <v>0</v>
      </c>
      <c r="T262" s="5">
        <f t="shared" si="20"/>
        <v>1058</v>
      </c>
      <c r="U262" s="42">
        <f>T262*'Constants Sheet'!$E$13</f>
        <v>86.958904109589042</v>
      </c>
      <c r="V262" s="40">
        <f>IF(T262&lt;'Manager Sheet'!$E$11,'Manager Sheet'!$E$14,0)</f>
        <v>0</v>
      </c>
      <c r="W262" s="45">
        <f>IFERROR(VLOOKUP(V262,'Constants Sheet'!$H$11:$J$14,3,TRUE),0)</f>
        <v>0</v>
      </c>
      <c r="Y262" s="15">
        <f t="shared" si="21"/>
        <v>1058</v>
      </c>
      <c r="Z262">
        <f t="shared" si="22"/>
        <v>200</v>
      </c>
      <c r="AA262" s="16">
        <f>IF('Calculation Sheet'!$D$11,'Manager Sheet'!$E$11,NA())</f>
        <v>200</v>
      </c>
    </row>
    <row r="263" spans="15:27" x14ac:dyDescent="0.25">
      <c r="O263" s="4">
        <v>255</v>
      </c>
      <c r="P263" s="4">
        <f t="shared" si="23"/>
        <v>1058</v>
      </c>
      <c r="Q263" s="5">
        <f>'Manager Sheet'!U262</f>
        <v>582</v>
      </c>
      <c r="R263" s="5">
        <f t="shared" si="18"/>
        <v>582</v>
      </c>
      <c r="S263" s="5">
        <f t="shared" si="19"/>
        <v>0</v>
      </c>
      <c r="T263" s="5">
        <f t="shared" si="20"/>
        <v>476</v>
      </c>
      <c r="U263" s="42">
        <f>T263*'Constants Sheet'!$E$13</f>
        <v>39.123287671232873</v>
      </c>
      <c r="V263" s="40">
        <f>IF(T263&lt;'Manager Sheet'!$E$11,'Manager Sheet'!$E$14,0)</f>
        <v>0</v>
      </c>
      <c r="W263" s="45">
        <f>IFERROR(VLOOKUP(V263,'Constants Sheet'!$H$11:$J$14,3,TRUE),0)</f>
        <v>0</v>
      </c>
      <c r="Y263" s="15">
        <f t="shared" si="21"/>
        <v>476</v>
      </c>
      <c r="Z263">
        <f t="shared" si="22"/>
        <v>582</v>
      </c>
      <c r="AA263" s="16">
        <f>IF('Calculation Sheet'!$D$11,'Manager Sheet'!$E$11,NA())</f>
        <v>200</v>
      </c>
    </row>
    <row r="264" spans="15:27" x14ac:dyDescent="0.25">
      <c r="O264" s="4">
        <v>256</v>
      </c>
      <c r="P264" s="4">
        <f t="shared" si="23"/>
        <v>476</v>
      </c>
      <c r="Q264" s="5">
        <f>'Manager Sheet'!U263</f>
        <v>519</v>
      </c>
      <c r="R264" s="5">
        <f t="shared" si="18"/>
        <v>476</v>
      </c>
      <c r="S264" s="5">
        <f t="shared" si="19"/>
        <v>43</v>
      </c>
      <c r="T264" s="5">
        <f t="shared" si="20"/>
        <v>0</v>
      </c>
      <c r="U264" s="42">
        <f>T264*'Constants Sheet'!$E$13</f>
        <v>0</v>
      </c>
      <c r="V264" s="40">
        <f>IF(T264&lt;'Manager Sheet'!$E$11,'Manager Sheet'!$E$14,0)</f>
        <v>5000</v>
      </c>
      <c r="W264" s="45">
        <f>IFERROR(VLOOKUP(V264,'Constants Sheet'!$H$11:$J$14,3,TRUE),0)</f>
        <v>175</v>
      </c>
      <c r="Y264" s="15">
        <f t="shared" si="21"/>
        <v>0</v>
      </c>
      <c r="Z264">
        <f t="shared" si="22"/>
        <v>519</v>
      </c>
      <c r="AA264" s="16">
        <f>IF('Calculation Sheet'!$D$11,'Manager Sheet'!$E$11,NA())</f>
        <v>200</v>
      </c>
    </row>
    <row r="265" spans="15:27" x14ac:dyDescent="0.25">
      <c r="O265" s="4">
        <v>257</v>
      </c>
      <c r="P265" s="4">
        <f t="shared" si="23"/>
        <v>5000</v>
      </c>
      <c r="Q265" s="5">
        <f>'Manager Sheet'!U264</f>
        <v>549</v>
      </c>
      <c r="R265" s="5">
        <f t="shared" si="18"/>
        <v>549</v>
      </c>
      <c r="S265" s="5">
        <f t="shared" si="19"/>
        <v>0</v>
      </c>
      <c r="T265" s="5">
        <f t="shared" si="20"/>
        <v>4451</v>
      </c>
      <c r="U265" s="42">
        <f>T265*'Constants Sheet'!$E$13</f>
        <v>365.83561643835617</v>
      </c>
      <c r="V265" s="40">
        <f>IF(T265&lt;'Manager Sheet'!$E$11,'Manager Sheet'!$E$14,0)</f>
        <v>0</v>
      </c>
      <c r="W265" s="45">
        <f>IFERROR(VLOOKUP(V265,'Constants Sheet'!$H$11:$J$14,3,TRUE),0)</f>
        <v>0</v>
      </c>
      <c r="Y265" s="15">
        <f t="shared" si="21"/>
        <v>4451</v>
      </c>
      <c r="Z265">
        <f t="shared" si="22"/>
        <v>549</v>
      </c>
      <c r="AA265" s="16">
        <f>IF('Calculation Sheet'!$D$11,'Manager Sheet'!$E$11,NA())</f>
        <v>200</v>
      </c>
    </row>
    <row r="266" spans="15:27" x14ac:dyDescent="0.25">
      <c r="O266" s="4">
        <v>258</v>
      </c>
      <c r="P266" s="4">
        <f t="shared" si="23"/>
        <v>4451</v>
      </c>
      <c r="Q266" s="5">
        <f>'Manager Sheet'!U265</f>
        <v>695</v>
      </c>
      <c r="R266" s="5">
        <f t="shared" ref="R266:R329" si="24">IF(P266&gt;Q266,Q266,P266)</f>
        <v>695</v>
      </c>
      <c r="S266" s="5">
        <f t="shared" ref="S266:S329" si="25">Q266-R266</f>
        <v>0</v>
      </c>
      <c r="T266" s="5">
        <f t="shared" ref="T266:T329" si="26">P266-R266</f>
        <v>3756</v>
      </c>
      <c r="U266" s="42">
        <f>T266*'Constants Sheet'!$E$13</f>
        <v>308.71232876712327</v>
      </c>
      <c r="V266" s="40">
        <f>IF(T266&lt;'Manager Sheet'!$E$11,'Manager Sheet'!$E$14,0)</f>
        <v>0</v>
      </c>
      <c r="W266" s="45">
        <f>IFERROR(VLOOKUP(V266,'Constants Sheet'!$H$11:$J$14,3,TRUE),0)</f>
        <v>0</v>
      </c>
      <c r="Y266" s="15">
        <f t="shared" ref="Y266:Y329" si="27">IF($D$10,T266,NA())</f>
        <v>3756</v>
      </c>
      <c r="Z266">
        <f t="shared" ref="Z266:Z329" si="28">IF($D$9,Q266,NA())</f>
        <v>695</v>
      </c>
      <c r="AA266" s="16">
        <f>IF('Calculation Sheet'!$D$11,'Manager Sheet'!$E$11,NA())</f>
        <v>200</v>
      </c>
    </row>
    <row r="267" spans="15:27" x14ac:dyDescent="0.25">
      <c r="O267" s="4">
        <v>259</v>
      </c>
      <c r="P267" s="4">
        <f t="shared" ref="P267:P330" si="29">T266+V266</f>
        <v>3756</v>
      </c>
      <c r="Q267" s="5">
        <f>'Manager Sheet'!U266</f>
        <v>328</v>
      </c>
      <c r="R267" s="5">
        <f t="shared" si="24"/>
        <v>328</v>
      </c>
      <c r="S267" s="5">
        <f t="shared" si="25"/>
        <v>0</v>
      </c>
      <c r="T267" s="5">
        <f t="shared" si="26"/>
        <v>3428</v>
      </c>
      <c r="U267" s="42">
        <f>T267*'Constants Sheet'!$E$13</f>
        <v>281.75342465753425</v>
      </c>
      <c r="V267" s="40">
        <f>IF(T267&lt;'Manager Sheet'!$E$11,'Manager Sheet'!$E$14,0)</f>
        <v>0</v>
      </c>
      <c r="W267" s="45">
        <f>IFERROR(VLOOKUP(V267,'Constants Sheet'!$H$11:$J$14,3,TRUE),0)</f>
        <v>0</v>
      </c>
      <c r="Y267" s="15">
        <f t="shared" si="27"/>
        <v>3428</v>
      </c>
      <c r="Z267">
        <f t="shared" si="28"/>
        <v>328</v>
      </c>
      <c r="AA267" s="16">
        <f>IF('Calculation Sheet'!$D$11,'Manager Sheet'!$E$11,NA())</f>
        <v>200</v>
      </c>
    </row>
    <row r="268" spans="15:27" x14ac:dyDescent="0.25">
      <c r="O268" s="4">
        <v>260</v>
      </c>
      <c r="P268" s="4">
        <f t="shared" si="29"/>
        <v>3428</v>
      </c>
      <c r="Q268" s="5">
        <f>'Manager Sheet'!U267</f>
        <v>619</v>
      </c>
      <c r="R268" s="5">
        <f t="shared" si="24"/>
        <v>619</v>
      </c>
      <c r="S268" s="5">
        <f t="shared" si="25"/>
        <v>0</v>
      </c>
      <c r="T268" s="5">
        <f t="shared" si="26"/>
        <v>2809</v>
      </c>
      <c r="U268" s="42">
        <f>T268*'Constants Sheet'!$E$13</f>
        <v>230.8767123287671</v>
      </c>
      <c r="V268" s="40">
        <f>IF(T268&lt;'Manager Sheet'!$E$11,'Manager Sheet'!$E$14,0)</f>
        <v>0</v>
      </c>
      <c r="W268" s="45">
        <f>IFERROR(VLOOKUP(V268,'Constants Sheet'!$H$11:$J$14,3,TRUE),0)</f>
        <v>0</v>
      </c>
      <c r="Y268" s="15">
        <f t="shared" si="27"/>
        <v>2809</v>
      </c>
      <c r="Z268">
        <f t="shared" si="28"/>
        <v>619</v>
      </c>
      <c r="AA268" s="16">
        <f>IF('Calculation Sheet'!$D$11,'Manager Sheet'!$E$11,NA())</f>
        <v>200</v>
      </c>
    </row>
    <row r="269" spans="15:27" x14ac:dyDescent="0.25">
      <c r="O269" s="4">
        <v>261</v>
      </c>
      <c r="P269" s="4">
        <f t="shared" si="29"/>
        <v>2809</v>
      </c>
      <c r="Q269" s="5">
        <f>'Manager Sheet'!U268</f>
        <v>727</v>
      </c>
      <c r="R269" s="5">
        <f t="shared" si="24"/>
        <v>727</v>
      </c>
      <c r="S269" s="5">
        <f t="shared" si="25"/>
        <v>0</v>
      </c>
      <c r="T269" s="5">
        <f t="shared" si="26"/>
        <v>2082</v>
      </c>
      <c r="U269" s="42">
        <f>T269*'Constants Sheet'!$E$13</f>
        <v>171.12328767123287</v>
      </c>
      <c r="V269" s="40">
        <f>IF(T269&lt;'Manager Sheet'!$E$11,'Manager Sheet'!$E$14,0)</f>
        <v>0</v>
      </c>
      <c r="W269" s="45">
        <f>IFERROR(VLOOKUP(V269,'Constants Sheet'!$H$11:$J$14,3,TRUE),0)</f>
        <v>0</v>
      </c>
      <c r="Y269" s="15">
        <f t="shared" si="27"/>
        <v>2082</v>
      </c>
      <c r="Z269">
        <f t="shared" si="28"/>
        <v>727</v>
      </c>
      <c r="AA269" s="16">
        <f>IF('Calculation Sheet'!$D$11,'Manager Sheet'!$E$11,NA())</f>
        <v>200</v>
      </c>
    </row>
    <row r="270" spans="15:27" x14ac:dyDescent="0.25">
      <c r="O270" s="4">
        <v>262</v>
      </c>
      <c r="P270" s="4">
        <f t="shared" si="29"/>
        <v>2082</v>
      </c>
      <c r="Q270" s="5">
        <f>'Manager Sheet'!U269</f>
        <v>315</v>
      </c>
      <c r="R270" s="5">
        <f t="shared" si="24"/>
        <v>315</v>
      </c>
      <c r="S270" s="5">
        <f t="shared" si="25"/>
        <v>0</v>
      </c>
      <c r="T270" s="5">
        <f t="shared" si="26"/>
        <v>1767</v>
      </c>
      <c r="U270" s="42">
        <f>T270*'Constants Sheet'!$E$13</f>
        <v>145.23287671232876</v>
      </c>
      <c r="V270" s="40">
        <f>IF(T270&lt;'Manager Sheet'!$E$11,'Manager Sheet'!$E$14,0)</f>
        <v>0</v>
      </c>
      <c r="W270" s="45">
        <f>IFERROR(VLOOKUP(V270,'Constants Sheet'!$H$11:$J$14,3,TRUE),0)</f>
        <v>0</v>
      </c>
      <c r="Y270" s="15">
        <f t="shared" si="27"/>
        <v>1767</v>
      </c>
      <c r="Z270">
        <f t="shared" si="28"/>
        <v>315</v>
      </c>
      <c r="AA270" s="16">
        <f>IF('Calculation Sheet'!$D$11,'Manager Sheet'!$E$11,NA())</f>
        <v>200</v>
      </c>
    </row>
    <row r="271" spans="15:27" x14ac:dyDescent="0.25">
      <c r="O271" s="4">
        <v>263</v>
      </c>
      <c r="P271" s="4">
        <f t="shared" si="29"/>
        <v>1767</v>
      </c>
      <c r="Q271" s="5">
        <f>'Manager Sheet'!U270</f>
        <v>287</v>
      </c>
      <c r="R271" s="5">
        <f t="shared" si="24"/>
        <v>287</v>
      </c>
      <c r="S271" s="5">
        <f t="shared" si="25"/>
        <v>0</v>
      </c>
      <c r="T271" s="5">
        <f t="shared" si="26"/>
        <v>1480</v>
      </c>
      <c r="U271" s="42">
        <f>T271*'Constants Sheet'!$E$13</f>
        <v>121.64383561643835</v>
      </c>
      <c r="V271" s="40">
        <f>IF(T271&lt;'Manager Sheet'!$E$11,'Manager Sheet'!$E$14,0)</f>
        <v>0</v>
      </c>
      <c r="W271" s="45">
        <f>IFERROR(VLOOKUP(V271,'Constants Sheet'!$H$11:$J$14,3,TRUE),0)</f>
        <v>0</v>
      </c>
      <c r="Y271" s="15">
        <f t="shared" si="27"/>
        <v>1480</v>
      </c>
      <c r="Z271">
        <f t="shared" si="28"/>
        <v>287</v>
      </c>
      <c r="AA271" s="16">
        <f>IF('Calculation Sheet'!$D$11,'Manager Sheet'!$E$11,NA())</f>
        <v>200</v>
      </c>
    </row>
    <row r="272" spans="15:27" x14ac:dyDescent="0.25">
      <c r="O272" s="4">
        <v>264</v>
      </c>
      <c r="P272" s="4">
        <f t="shared" si="29"/>
        <v>1480</v>
      </c>
      <c r="Q272" s="5">
        <f>'Manager Sheet'!U271</f>
        <v>615</v>
      </c>
      <c r="R272" s="5">
        <f t="shared" si="24"/>
        <v>615</v>
      </c>
      <c r="S272" s="5">
        <f t="shared" si="25"/>
        <v>0</v>
      </c>
      <c r="T272" s="5">
        <f t="shared" si="26"/>
        <v>865</v>
      </c>
      <c r="U272" s="42">
        <f>T272*'Constants Sheet'!$E$13</f>
        <v>71.095890410958901</v>
      </c>
      <c r="V272" s="40">
        <f>IF(T272&lt;'Manager Sheet'!$E$11,'Manager Sheet'!$E$14,0)</f>
        <v>0</v>
      </c>
      <c r="W272" s="45">
        <f>IFERROR(VLOOKUP(V272,'Constants Sheet'!$H$11:$J$14,3,TRUE),0)</f>
        <v>0</v>
      </c>
      <c r="Y272" s="15">
        <f t="shared" si="27"/>
        <v>865</v>
      </c>
      <c r="Z272">
        <f t="shared" si="28"/>
        <v>615</v>
      </c>
      <c r="AA272" s="16">
        <f>IF('Calculation Sheet'!$D$11,'Manager Sheet'!$E$11,NA())</f>
        <v>200</v>
      </c>
    </row>
    <row r="273" spans="15:27" x14ac:dyDescent="0.25">
      <c r="O273" s="4">
        <v>265</v>
      </c>
      <c r="P273" s="4">
        <f t="shared" si="29"/>
        <v>865</v>
      </c>
      <c r="Q273" s="5">
        <f>'Manager Sheet'!U272</f>
        <v>453</v>
      </c>
      <c r="R273" s="5">
        <f t="shared" si="24"/>
        <v>453</v>
      </c>
      <c r="S273" s="5">
        <f t="shared" si="25"/>
        <v>0</v>
      </c>
      <c r="T273" s="5">
        <f t="shared" si="26"/>
        <v>412</v>
      </c>
      <c r="U273" s="42">
        <f>T273*'Constants Sheet'!$E$13</f>
        <v>33.863013698630134</v>
      </c>
      <c r="V273" s="40">
        <f>IF(T273&lt;'Manager Sheet'!$E$11,'Manager Sheet'!$E$14,0)</f>
        <v>0</v>
      </c>
      <c r="W273" s="45">
        <f>IFERROR(VLOOKUP(V273,'Constants Sheet'!$H$11:$J$14,3,TRUE),0)</f>
        <v>0</v>
      </c>
      <c r="Y273" s="15">
        <f t="shared" si="27"/>
        <v>412</v>
      </c>
      <c r="Z273">
        <f t="shared" si="28"/>
        <v>453</v>
      </c>
      <c r="AA273" s="16">
        <f>IF('Calculation Sheet'!$D$11,'Manager Sheet'!$E$11,NA())</f>
        <v>200</v>
      </c>
    </row>
    <row r="274" spans="15:27" x14ac:dyDescent="0.25">
      <c r="O274" s="4">
        <v>266</v>
      </c>
      <c r="P274" s="4">
        <f t="shared" si="29"/>
        <v>412</v>
      </c>
      <c r="Q274" s="5">
        <f>'Manager Sheet'!U273</f>
        <v>589</v>
      </c>
      <c r="R274" s="5">
        <f t="shared" si="24"/>
        <v>412</v>
      </c>
      <c r="S274" s="5">
        <f t="shared" si="25"/>
        <v>177</v>
      </c>
      <c r="T274" s="5">
        <f t="shared" si="26"/>
        <v>0</v>
      </c>
      <c r="U274" s="42">
        <f>T274*'Constants Sheet'!$E$13</f>
        <v>0</v>
      </c>
      <c r="V274" s="40">
        <f>IF(T274&lt;'Manager Sheet'!$E$11,'Manager Sheet'!$E$14,0)</f>
        <v>5000</v>
      </c>
      <c r="W274" s="45">
        <f>IFERROR(VLOOKUP(V274,'Constants Sheet'!$H$11:$J$14,3,TRUE),0)</f>
        <v>175</v>
      </c>
      <c r="Y274" s="15">
        <f t="shared" si="27"/>
        <v>0</v>
      </c>
      <c r="Z274">
        <f t="shared" si="28"/>
        <v>589</v>
      </c>
      <c r="AA274" s="16">
        <f>IF('Calculation Sheet'!$D$11,'Manager Sheet'!$E$11,NA())</f>
        <v>200</v>
      </c>
    </row>
    <row r="275" spans="15:27" x14ac:dyDescent="0.25">
      <c r="O275" s="4">
        <v>267</v>
      </c>
      <c r="P275" s="4">
        <f t="shared" si="29"/>
        <v>5000</v>
      </c>
      <c r="Q275" s="5">
        <f>'Manager Sheet'!U274</f>
        <v>369</v>
      </c>
      <c r="R275" s="5">
        <f t="shared" si="24"/>
        <v>369</v>
      </c>
      <c r="S275" s="5">
        <f t="shared" si="25"/>
        <v>0</v>
      </c>
      <c r="T275" s="5">
        <f t="shared" si="26"/>
        <v>4631</v>
      </c>
      <c r="U275" s="42">
        <f>T275*'Constants Sheet'!$E$13</f>
        <v>380.63013698630135</v>
      </c>
      <c r="V275" s="40">
        <f>IF(T275&lt;'Manager Sheet'!$E$11,'Manager Sheet'!$E$14,0)</f>
        <v>0</v>
      </c>
      <c r="W275" s="45">
        <f>IFERROR(VLOOKUP(V275,'Constants Sheet'!$H$11:$J$14,3,TRUE),0)</f>
        <v>0</v>
      </c>
      <c r="Y275" s="15">
        <f t="shared" si="27"/>
        <v>4631</v>
      </c>
      <c r="Z275">
        <f t="shared" si="28"/>
        <v>369</v>
      </c>
      <c r="AA275" s="16">
        <f>IF('Calculation Sheet'!$D$11,'Manager Sheet'!$E$11,NA())</f>
        <v>200</v>
      </c>
    </row>
    <row r="276" spans="15:27" x14ac:dyDescent="0.25">
      <c r="O276" s="4">
        <v>268</v>
      </c>
      <c r="P276" s="4">
        <f t="shared" si="29"/>
        <v>4631</v>
      </c>
      <c r="Q276" s="5">
        <f>'Manager Sheet'!U275</f>
        <v>435</v>
      </c>
      <c r="R276" s="5">
        <f t="shared" si="24"/>
        <v>435</v>
      </c>
      <c r="S276" s="5">
        <f t="shared" si="25"/>
        <v>0</v>
      </c>
      <c r="T276" s="5">
        <f t="shared" si="26"/>
        <v>4196</v>
      </c>
      <c r="U276" s="42">
        <f>T276*'Constants Sheet'!$E$13</f>
        <v>344.8767123287671</v>
      </c>
      <c r="V276" s="40">
        <f>IF(T276&lt;'Manager Sheet'!$E$11,'Manager Sheet'!$E$14,0)</f>
        <v>0</v>
      </c>
      <c r="W276" s="45">
        <f>IFERROR(VLOOKUP(V276,'Constants Sheet'!$H$11:$J$14,3,TRUE),0)</f>
        <v>0</v>
      </c>
      <c r="Y276" s="15">
        <f t="shared" si="27"/>
        <v>4196</v>
      </c>
      <c r="Z276">
        <f t="shared" si="28"/>
        <v>435</v>
      </c>
      <c r="AA276" s="16">
        <f>IF('Calculation Sheet'!$D$11,'Manager Sheet'!$E$11,NA())</f>
        <v>200</v>
      </c>
    </row>
    <row r="277" spans="15:27" x14ac:dyDescent="0.25">
      <c r="O277" s="4">
        <v>269</v>
      </c>
      <c r="P277" s="4">
        <f t="shared" si="29"/>
        <v>4196</v>
      </c>
      <c r="Q277" s="5">
        <f>'Manager Sheet'!U276</f>
        <v>380</v>
      </c>
      <c r="R277" s="5">
        <f t="shared" si="24"/>
        <v>380</v>
      </c>
      <c r="S277" s="5">
        <f t="shared" si="25"/>
        <v>0</v>
      </c>
      <c r="T277" s="5">
        <f t="shared" si="26"/>
        <v>3816</v>
      </c>
      <c r="U277" s="42">
        <f>T277*'Constants Sheet'!$E$13</f>
        <v>313.64383561643837</v>
      </c>
      <c r="V277" s="40">
        <f>IF(T277&lt;'Manager Sheet'!$E$11,'Manager Sheet'!$E$14,0)</f>
        <v>0</v>
      </c>
      <c r="W277" s="45">
        <f>IFERROR(VLOOKUP(V277,'Constants Sheet'!$H$11:$J$14,3,TRUE),0)</f>
        <v>0</v>
      </c>
      <c r="Y277" s="15">
        <f t="shared" si="27"/>
        <v>3816</v>
      </c>
      <c r="Z277">
        <f t="shared" si="28"/>
        <v>380</v>
      </c>
      <c r="AA277" s="16">
        <f>IF('Calculation Sheet'!$D$11,'Manager Sheet'!$E$11,NA())</f>
        <v>200</v>
      </c>
    </row>
    <row r="278" spans="15:27" x14ac:dyDescent="0.25">
      <c r="O278" s="4">
        <v>270</v>
      </c>
      <c r="P278" s="4">
        <f t="shared" si="29"/>
        <v>3816</v>
      </c>
      <c r="Q278" s="5">
        <f>'Manager Sheet'!U277</f>
        <v>476</v>
      </c>
      <c r="R278" s="5">
        <f t="shared" si="24"/>
        <v>476</v>
      </c>
      <c r="S278" s="5">
        <f t="shared" si="25"/>
        <v>0</v>
      </c>
      <c r="T278" s="5">
        <f t="shared" si="26"/>
        <v>3340</v>
      </c>
      <c r="U278" s="42">
        <f>T278*'Constants Sheet'!$E$13</f>
        <v>274.52054794520546</v>
      </c>
      <c r="V278" s="40">
        <f>IF(T278&lt;'Manager Sheet'!$E$11,'Manager Sheet'!$E$14,0)</f>
        <v>0</v>
      </c>
      <c r="W278" s="45">
        <f>IFERROR(VLOOKUP(V278,'Constants Sheet'!$H$11:$J$14,3,TRUE),0)</f>
        <v>0</v>
      </c>
      <c r="Y278" s="15">
        <f t="shared" si="27"/>
        <v>3340</v>
      </c>
      <c r="Z278">
        <f t="shared" si="28"/>
        <v>476</v>
      </c>
      <c r="AA278" s="16">
        <f>IF('Calculation Sheet'!$D$11,'Manager Sheet'!$E$11,NA())</f>
        <v>200</v>
      </c>
    </row>
    <row r="279" spans="15:27" x14ac:dyDescent="0.25">
      <c r="O279" s="4">
        <v>271</v>
      </c>
      <c r="P279" s="4">
        <f t="shared" si="29"/>
        <v>3340</v>
      </c>
      <c r="Q279" s="5">
        <f>'Manager Sheet'!U278</f>
        <v>453</v>
      </c>
      <c r="R279" s="5">
        <f t="shared" si="24"/>
        <v>453</v>
      </c>
      <c r="S279" s="5">
        <f t="shared" si="25"/>
        <v>0</v>
      </c>
      <c r="T279" s="5">
        <f t="shared" si="26"/>
        <v>2887</v>
      </c>
      <c r="U279" s="42">
        <f>T279*'Constants Sheet'!$E$13</f>
        <v>237.2876712328767</v>
      </c>
      <c r="V279" s="40">
        <f>IF(T279&lt;'Manager Sheet'!$E$11,'Manager Sheet'!$E$14,0)</f>
        <v>0</v>
      </c>
      <c r="W279" s="45">
        <f>IFERROR(VLOOKUP(V279,'Constants Sheet'!$H$11:$J$14,3,TRUE),0)</f>
        <v>0</v>
      </c>
      <c r="Y279" s="15">
        <f t="shared" si="27"/>
        <v>2887</v>
      </c>
      <c r="Z279">
        <f t="shared" si="28"/>
        <v>453</v>
      </c>
      <c r="AA279" s="16">
        <f>IF('Calculation Sheet'!$D$11,'Manager Sheet'!$E$11,NA())</f>
        <v>200</v>
      </c>
    </row>
    <row r="280" spans="15:27" x14ac:dyDescent="0.25">
      <c r="O280" s="4">
        <v>272</v>
      </c>
      <c r="P280" s="4">
        <f t="shared" si="29"/>
        <v>2887</v>
      </c>
      <c r="Q280" s="5">
        <f>'Manager Sheet'!U279</f>
        <v>482</v>
      </c>
      <c r="R280" s="5">
        <f t="shared" si="24"/>
        <v>482</v>
      </c>
      <c r="S280" s="5">
        <f t="shared" si="25"/>
        <v>0</v>
      </c>
      <c r="T280" s="5">
        <f t="shared" si="26"/>
        <v>2405</v>
      </c>
      <c r="U280" s="42">
        <f>T280*'Constants Sheet'!$E$13</f>
        <v>197.67123287671231</v>
      </c>
      <c r="V280" s="40">
        <f>IF(T280&lt;'Manager Sheet'!$E$11,'Manager Sheet'!$E$14,0)</f>
        <v>0</v>
      </c>
      <c r="W280" s="45">
        <f>IFERROR(VLOOKUP(V280,'Constants Sheet'!$H$11:$J$14,3,TRUE),0)</f>
        <v>0</v>
      </c>
      <c r="Y280" s="15">
        <f t="shared" si="27"/>
        <v>2405</v>
      </c>
      <c r="Z280">
        <f t="shared" si="28"/>
        <v>482</v>
      </c>
      <c r="AA280" s="16">
        <f>IF('Calculation Sheet'!$D$11,'Manager Sheet'!$E$11,NA())</f>
        <v>200</v>
      </c>
    </row>
    <row r="281" spans="15:27" x14ac:dyDescent="0.25">
      <c r="O281" s="4">
        <v>273</v>
      </c>
      <c r="P281" s="4">
        <f t="shared" si="29"/>
        <v>2405</v>
      </c>
      <c r="Q281" s="5">
        <f>'Manager Sheet'!U280</f>
        <v>122</v>
      </c>
      <c r="R281" s="5">
        <f t="shared" si="24"/>
        <v>122</v>
      </c>
      <c r="S281" s="5">
        <f t="shared" si="25"/>
        <v>0</v>
      </c>
      <c r="T281" s="5">
        <f t="shared" si="26"/>
        <v>2283</v>
      </c>
      <c r="U281" s="42">
        <f>T281*'Constants Sheet'!$E$13</f>
        <v>187.64383561643834</v>
      </c>
      <c r="V281" s="40">
        <f>IF(T281&lt;'Manager Sheet'!$E$11,'Manager Sheet'!$E$14,0)</f>
        <v>0</v>
      </c>
      <c r="W281" s="45">
        <f>IFERROR(VLOOKUP(V281,'Constants Sheet'!$H$11:$J$14,3,TRUE),0)</f>
        <v>0</v>
      </c>
      <c r="Y281" s="15">
        <f t="shared" si="27"/>
        <v>2283</v>
      </c>
      <c r="Z281">
        <f t="shared" si="28"/>
        <v>122</v>
      </c>
      <c r="AA281" s="16">
        <f>IF('Calculation Sheet'!$D$11,'Manager Sheet'!$E$11,NA())</f>
        <v>200</v>
      </c>
    </row>
    <row r="282" spans="15:27" x14ac:dyDescent="0.25">
      <c r="O282" s="4">
        <v>274</v>
      </c>
      <c r="P282" s="4">
        <f t="shared" si="29"/>
        <v>2283</v>
      </c>
      <c r="Q282" s="5">
        <f>'Manager Sheet'!U281</f>
        <v>579</v>
      </c>
      <c r="R282" s="5">
        <f t="shared" si="24"/>
        <v>579</v>
      </c>
      <c r="S282" s="5">
        <f t="shared" si="25"/>
        <v>0</v>
      </c>
      <c r="T282" s="5">
        <f t="shared" si="26"/>
        <v>1704</v>
      </c>
      <c r="U282" s="42">
        <f>T282*'Constants Sheet'!$E$13</f>
        <v>140.05479452054794</v>
      </c>
      <c r="V282" s="40">
        <f>IF(T282&lt;'Manager Sheet'!$E$11,'Manager Sheet'!$E$14,0)</f>
        <v>0</v>
      </c>
      <c r="W282" s="45">
        <f>IFERROR(VLOOKUP(V282,'Constants Sheet'!$H$11:$J$14,3,TRUE),0)</f>
        <v>0</v>
      </c>
      <c r="Y282" s="15">
        <f t="shared" si="27"/>
        <v>1704</v>
      </c>
      <c r="Z282">
        <f t="shared" si="28"/>
        <v>579</v>
      </c>
      <c r="AA282" s="16">
        <f>IF('Calculation Sheet'!$D$11,'Manager Sheet'!$E$11,NA())</f>
        <v>200</v>
      </c>
    </row>
    <row r="283" spans="15:27" x14ac:dyDescent="0.25">
      <c r="O283" s="4">
        <v>275</v>
      </c>
      <c r="P283" s="4">
        <f t="shared" si="29"/>
        <v>1704</v>
      </c>
      <c r="Q283" s="5">
        <f>'Manager Sheet'!U282</f>
        <v>626</v>
      </c>
      <c r="R283" s="5">
        <f t="shared" si="24"/>
        <v>626</v>
      </c>
      <c r="S283" s="5">
        <f t="shared" si="25"/>
        <v>0</v>
      </c>
      <c r="T283" s="5">
        <f t="shared" si="26"/>
        <v>1078</v>
      </c>
      <c r="U283" s="42">
        <f>T283*'Constants Sheet'!$E$13</f>
        <v>88.602739726027394</v>
      </c>
      <c r="V283" s="40">
        <f>IF(T283&lt;'Manager Sheet'!$E$11,'Manager Sheet'!$E$14,0)</f>
        <v>0</v>
      </c>
      <c r="W283" s="45">
        <f>IFERROR(VLOOKUP(V283,'Constants Sheet'!$H$11:$J$14,3,TRUE),0)</f>
        <v>0</v>
      </c>
      <c r="Y283" s="15">
        <f t="shared" si="27"/>
        <v>1078</v>
      </c>
      <c r="Z283">
        <f t="shared" si="28"/>
        <v>626</v>
      </c>
      <c r="AA283" s="16">
        <f>IF('Calculation Sheet'!$D$11,'Manager Sheet'!$E$11,NA())</f>
        <v>200</v>
      </c>
    </row>
    <row r="284" spans="15:27" x14ac:dyDescent="0.25">
      <c r="O284" s="4">
        <v>276</v>
      </c>
      <c r="P284" s="4">
        <f t="shared" si="29"/>
        <v>1078</v>
      </c>
      <c r="Q284" s="5">
        <f>'Manager Sheet'!U283</f>
        <v>434</v>
      </c>
      <c r="R284" s="5">
        <f t="shared" si="24"/>
        <v>434</v>
      </c>
      <c r="S284" s="5">
        <f t="shared" si="25"/>
        <v>0</v>
      </c>
      <c r="T284" s="5">
        <f t="shared" si="26"/>
        <v>644</v>
      </c>
      <c r="U284" s="42">
        <f>T284*'Constants Sheet'!$E$13</f>
        <v>52.931506849315063</v>
      </c>
      <c r="V284" s="40">
        <f>IF(T284&lt;'Manager Sheet'!$E$11,'Manager Sheet'!$E$14,0)</f>
        <v>0</v>
      </c>
      <c r="W284" s="45">
        <f>IFERROR(VLOOKUP(V284,'Constants Sheet'!$H$11:$J$14,3,TRUE),0)</f>
        <v>0</v>
      </c>
      <c r="Y284" s="15">
        <f t="shared" si="27"/>
        <v>644</v>
      </c>
      <c r="Z284">
        <f t="shared" si="28"/>
        <v>434</v>
      </c>
      <c r="AA284" s="16">
        <f>IF('Calculation Sheet'!$D$11,'Manager Sheet'!$E$11,NA())</f>
        <v>200</v>
      </c>
    </row>
    <row r="285" spans="15:27" x14ac:dyDescent="0.25">
      <c r="O285" s="4">
        <v>277</v>
      </c>
      <c r="P285" s="4">
        <f t="shared" si="29"/>
        <v>644</v>
      </c>
      <c r="Q285" s="5">
        <f>'Manager Sheet'!U284</f>
        <v>570</v>
      </c>
      <c r="R285" s="5">
        <f t="shared" si="24"/>
        <v>570</v>
      </c>
      <c r="S285" s="5">
        <f t="shared" si="25"/>
        <v>0</v>
      </c>
      <c r="T285" s="5">
        <f t="shared" si="26"/>
        <v>74</v>
      </c>
      <c r="U285" s="42">
        <f>T285*'Constants Sheet'!$E$13</f>
        <v>6.0821917808219172</v>
      </c>
      <c r="V285" s="40">
        <f>IF(T285&lt;'Manager Sheet'!$E$11,'Manager Sheet'!$E$14,0)</f>
        <v>5000</v>
      </c>
      <c r="W285" s="45">
        <f>IFERROR(VLOOKUP(V285,'Constants Sheet'!$H$11:$J$14,3,TRUE),0)</f>
        <v>175</v>
      </c>
      <c r="Y285" s="15">
        <f t="shared" si="27"/>
        <v>74</v>
      </c>
      <c r="Z285">
        <f t="shared" si="28"/>
        <v>570</v>
      </c>
      <c r="AA285" s="16">
        <f>IF('Calculation Sheet'!$D$11,'Manager Sheet'!$E$11,NA())</f>
        <v>200</v>
      </c>
    </row>
    <row r="286" spans="15:27" x14ac:dyDescent="0.25">
      <c r="O286" s="4">
        <v>278</v>
      </c>
      <c r="P286" s="4">
        <f t="shared" si="29"/>
        <v>5074</v>
      </c>
      <c r="Q286" s="5">
        <f>'Manager Sheet'!U285</f>
        <v>532</v>
      </c>
      <c r="R286" s="5">
        <f t="shared" si="24"/>
        <v>532</v>
      </c>
      <c r="S286" s="5">
        <f t="shared" si="25"/>
        <v>0</v>
      </c>
      <c r="T286" s="5">
        <f t="shared" si="26"/>
        <v>4542</v>
      </c>
      <c r="U286" s="42">
        <f>T286*'Constants Sheet'!$E$13</f>
        <v>373.31506849315065</v>
      </c>
      <c r="V286" s="40">
        <f>IF(T286&lt;'Manager Sheet'!$E$11,'Manager Sheet'!$E$14,0)</f>
        <v>0</v>
      </c>
      <c r="W286" s="45">
        <f>IFERROR(VLOOKUP(V286,'Constants Sheet'!$H$11:$J$14,3,TRUE),0)</f>
        <v>0</v>
      </c>
      <c r="Y286" s="15">
        <f t="shared" si="27"/>
        <v>4542</v>
      </c>
      <c r="Z286">
        <f t="shared" si="28"/>
        <v>532</v>
      </c>
      <c r="AA286" s="16">
        <f>IF('Calculation Sheet'!$D$11,'Manager Sheet'!$E$11,NA())</f>
        <v>200</v>
      </c>
    </row>
    <row r="287" spans="15:27" x14ac:dyDescent="0.25">
      <c r="O287" s="4">
        <v>279</v>
      </c>
      <c r="P287" s="4">
        <f t="shared" si="29"/>
        <v>4542</v>
      </c>
      <c r="Q287" s="5">
        <f>'Manager Sheet'!U286</f>
        <v>181</v>
      </c>
      <c r="R287" s="5">
        <f t="shared" si="24"/>
        <v>181</v>
      </c>
      <c r="S287" s="5">
        <f t="shared" si="25"/>
        <v>0</v>
      </c>
      <c r="T287" s="5">
        <f t="shared" si="26"/>
        <v>4361</v>
      </c>
      <c r="U287" s="42">
        <f>T287*'Constants Sheet'!$E$13</f>
        <v>358.43835616438355</v>
      </c>
      <c r="V287" s="40">
        <f>IF(T287&lt;'Manager Sheet'!$E$11,'Manager Sheet'!$E$14,0)</f>
        <v>0</v>
      </c>
      <c r="W287" s="45">
        <f>IFERROR(VLOOKUP(V287,'Constants Sheet'!$H$11:$J$14,3,TRUE),0)</f>
        <v>0</v>
      </c>
      <c r="Y287" s="15">
        <f t="shared" si="27"/>
        <v>4361</v>
      </c>
      <c r="Z287">
        <f t="shared" si="28"/>
        <v>181</v>
      </c>
      <c r="AA287" s="16">
        <f>IF('Calculation Sheet'!$D$11,'Manager Sheet'!$E$11,NA())</f>
        <v>200</v>
      </c>
    </row>
    <row r="288" spans="15:27" x14ac:dyDescent="0.25">
      <c r="O288" s="4">
        <v>280</v>
      </c>
      <c r="P288" s="4">
        <f t="shared" si="29"/>
        <v>4361</v>
      </c>
      <c r="Q288" s="5">
        <f>'Manager Sheet'!U287</f>
        <v>736</v>
      </c>
      <c r="R288" s="5">
        <f t="shared" si="24"/>
        <v>736</v>
      </c>
      <c r="S288" s="5">
        <f t="shared" si="25"/>
        <v>0</v>
      </c>
      <c r="T288" s="5">
        <f t="shared" si="26"/>
        <v>3625</v>
      </c>
      <c r="U288" s="42">
        <f>T288*'Constants Sheet'!$E$13</f>
        <v>297.94520547945206</v>
      </c>
      <c r="V288" s="40">
        <f>IF(T288&lt;'Manager Sheet'!$E$11,'Manager Sheet'!$E$14,0)</f>
        <v>0</v>
      </c>
      <c r="W288" s="45">
        <f>IFERROR(VLOOKUP(V288,'Constants Sheet'!$H$11:$J$14,3,TRUE),0)</f>
        <v>0</v>
      </c>
      <c r="Y288" s="15">
        <f t="shared" si="27"/>
        <v>3625</v>
      </c>
      <c r="Z288">
        <f t="shared" si="28"/>
        <v>736</v>
      </c>
      <c r="AA288" s="16">
        <f>IF('Calculation Sheet'!$D$11,'Manager Sheet'!$E$11,NA())</f>
        <v>200</v>
      </c>
    </row>
    <row r="289" spans="15:27" x14ac:dyDescent="0.25">
      <c r="O289" s="4">
        <v>281</v>
      </c>
      <c r="P289" s="4">
        <f t="shared" si="29"/>
        <v>3625</v>
      </c>
      <c r="Q289" s="5">
        <f>'Manager Sheet'!U288</f>
        <v>473</v>
      </c>
      <c r="R289" s="5">
        <f t="shared" si="24"/>
        <v>473</v>
      </c>
      <c r="S289" s="5">
        <f t="shared" si="25"/>
        <v>0</v>
      </c>
      <c r="T289" s="5">
        <f t="shared" si="26"/>
        <v>3152</v>
      </c>
      <c r="U289" s="42">
        <f>T289*'Constants Sheet'!$E$13</f>
        <v>259.0684931506849</v>
      </c>
      <c r="V289" s="40">
        <f>IF(T289&lt;'Manager Sheet'!$E$11,'Manager Sheet'!$E$14,0)</f>
        <v>0</v>
      </c>
      <c r="W289" s="45">
        <f>IFERROR(VLOOKUP(V289,'Constants Sheet'!$H$11:$J$14,3,TRUE),0)</f>
        <v>0</v>
      </c>
      <c r="Y289" s="15">
        <f t="shared" si="27"/>
        <v>3152</v>
      </c>
      <c r="Z289">
        <f t="shared" si="28"/>
        <v>473</v>
      </c>
      <c r="AA289" s="16">
        <f>IF('Calculation Sheet'!$D$11,'Manager Sheet'!$E$11,NA())</f>
        <v>200</v>
      </c>
    </row>
    <row r="290" spans="15:27" x14ac:dyDescent="0.25">
      <c r="O290" s="4">
        <v>282</v>
      </c>
      <c r="P290" s="4">
        <f t="shared" si="29"/>
        <v>3152</v>
      </c>
      <c r="Q290" s="5">
        <f>'Manager Sheet'!U289</f>
        <v>281</v>
      </c>
      <c r="R290" s="5">
        <f t="shared" si="24"/>
        <v>281</v>
      </c>
      <c r="S290" s="5">
        <f t="shared" si="25"/>
        <v>0</v>
      </c>
      <c r="T290" s="5">
        <f t="shared" si="26"/>
        <v>2871</v>
      </c>
      <c r="U290" s="42">
        <f>T290*'Constants Sheet'!$E$13</f>
        <v>235.97260273972603</v>
      </c>
      <c r="V290" s="40">
        <f>IF(T290&lt;'Manager Sheet'!$E$11,'Manager Sheet'!$E$14,0)</f>
        <v>0</v>
      </c>
      <c r="W290" s="45">
        <f>IFERROR(VLOOKUP(V290,'Constants Sheet'!$H$11:$J$14,3,TRUE),0)</f>
        <v>0</v>
      </c>
      <c r="Y290" s="15">
        <f t="shared" si="27"/>
        <v>2871</v>
      </c>
      <c r="Z290">
        <f t="shared" si="28"/>
        <v>281</v>
      </c>
      <c r="AA290" s="16">
        <f>IF('Calculation Sheet'!$D$11,'Manager Sheet'!$E$11,NA())</f>
        <v>200</v>
      </c>
    </row>
    <row r="291" spans="15:27" x14ac:dyDescent="0.25">
      <c r="O291" s="4">
        <v>283</v>
      </c>
      <c r="P291" s="4">
        <f t="shared" si="29"/>
        <v>2871</v>
      </c>
      <c r="Q291" s="5">
        <f>'Manager Sheet'!U290</f>
        <v>647</v>
      </c>
      <c r="R291" s="5">
        <f t="shared" si="24"/>
        <v>647</v>
      </c>
      <c r="S291" s="5">
        <f t="shared" si="25"/>
        <v>0</v>
      </c>
      <c r="T291" s="5">
        <f t="shared" si="26"/>
        <v>2224</v>
      </c>
      <c r="U291" s="42">
        <f>T291*'Constants Sheet'!$E$13</f>
        <v>182.79452054794518</v>
      </c>
      <c r="V291" s="40">
        <f>IF(T291&lt;'Manager Sheet'!$E$11,'Manager Sheet'!$E$14,0)</f>
        <v>0</v>
      </c>
      <c r="W291" s="45">
        <f>IFERROR(VLOOKUP(V291,'Constants Sheet'!$H$11:$J$14,3,TRUE),0)</f>
        <v>0</v>
      </c>
      <c r="Y291" s="15">
        <f t="shared" si="27"/>
        <v>2224</v>
      </c>
      <c r="Z291">
        <f t="shared" si="28"/>
        <v>647</v>
      </c>
      <c r="AA291" s="16">
        <f>IF('Calculation Sheet'!$D$11,'Manager Sheet'!$E$11,NA())</f>
        <v>200</v>
      </c>
    </row>
    <row r="292" spans="15:27" x14ac:dyDescent="0.25">
      <c r="O292" s="4">
        <v>284</v>
      </c>
      <c r="P292" s="4">
        <f t="shared" si="29"/>
        <v>2224</v>
      </c>
      <c r="Q292" s="5">
        <f>'Manager Sheet'!U291</f>
        <v>408</v>
      </c>
      <c r="R292" s="5">
        <f t="shared" si="24"/>
        <v>408</v>
      </c>
      <c r="S292" s="5">
        <f t="shared" si="25"/>
        <v>0</v>
      </c>
      <c r="T292" s="5">
        <f t="shared" si="26"/>
        <v>1816</v>
      </c>
      <c r="U292" s="42">
        <f>T292*'Constants Sheet'!$E$13</f>
        <v>149.26027397260273</v>
      </c>
      <c r="V292" s="40">
        <f>IF(T292&lt;'Manager Sheet'!$E$11,'Manager Sheet'!$E$14,0)</f>
        <v>0</v>
      </c>
      <c r="W292" s="45">
        <f>IFERROR(VLOOKUP(V292,'Constants Sheet'!$H$11:$J$14,3,TRUE),0)</f>
        <v>0</v>
      </c>
      <c r="Y292" s="15">
        <f t="shared" si="27"/>
        <v>1816</v>
      </c>
      <c r="Z292">
        <f t="shared" si="28"/>
        <v>408</v>
      </c>
      <c r="AA292" s="16">
        <f>IF('Calculation Sheet'!$D$11,'Manager Sheet'!$E$11,NA())</f>
        <v>200</v>
      </c>
    </row>
    <row r="293" spans="15:27" x14ac:dyDescent="0.25">
      <c r="O293" s="4">
        <v>285</v>
      </c>
      <c r="P293" s="4">
        <f t="shared" si="29"/>
        <v>1816</v>
      </c>
      <c r="Q293" s="5">
        <f>'Manager Sheet'!U292</f>
        <v>578</v>
      </c>
      <c r="R293" s="5">
        <f t="shared" si="24"/>
        <v>578</v>
      </c>
      <c r="S293" s="5">
        <f t="shared" si="25"/>
        <v>0</v>
      </c>
      <c r="T293" s="5">
        <f t="shared" si="26"/>
        <v>1238</v>
      </c>
      <c r="U293" s="42">
        <f>T293*'Constants Sheet'!$E$13</f>
        <v>101.75342465753424</v>
      </c>
      <c r="V293" s="40">
        <f>IF(T293&lt;'Manager Sheet'!$E$11,'Manager Sheet'!$E$14,0)</f>
        <v>0</v>
      </c>
      <c r="W293" s="45">
        <f>IFERROR(VLOOKUP(V293,'Constants Sheet'!$H$11:$J$14,3,TRUE),0)</f>
        <v>0</v>
      </c>
      <c r="Y293" s="15">
        <f t="shared" si="27"/>
        <v>1238</v>
      </c>
      <c r="Z293">
        <f t="shared" si="28"/>
        <v>578</v>
      </c>
      <c r="AA293" s="16">
        <f>IF('Calculation Sheet'!$D$11,'Manager Sheet'!$E$11,NA())</f>
        <v>200</v>
      </c>
    </row>
    <row r="294" spans="15:27" x14ac:dyDescent="0.25">
      <c r="O294" s="4">
        <v>286</v>
      </c>
      <c r="P294" s="4">
        <f t="shared" si="29"/>
        <v>1238</v>
      </c>
      <c r="Q294" s="5">
        <f>'Manager Sheet'!U293</f>
        <v>308</v>
      </c>
      <c r="R294" s="5">
        <f t="shared" si="24"/>
        <v>308</v>
      </c>
      <c r="S294" s="5">
        <f t="shared" si="25"/>
        <v>0</v>
      </c>
      <c r="T294" s="5">
        <f t="shared" si="26"/>
        <v>930</v>
      </c>
      <c r="U294" s="42">
        <f>T294*'Constants Sheet'!$E$13</f>
        <v>76.438356164383563</v>
      </c>
      <c r="V294" s="40">
        <f>IF(T294&lt;'Manager Sheet'!$E$11,'Manager Sheet'!$E$14,0)</f>
        <v>0</v>
      </c>
      <c r="W294" s="45">
        <f>IFERROR(VLOOKUP(V294,'Constants Sheet'!$H$11:$J$14,3,TRUE),0)</f>
        <v>0</v>
      </c>
      <c r="Y294" s="15">
        <f t="shared" si="27"/>
        <v>930</v>
      </c>
      <c r="Z294">
        <f t="shared" si="28"/>
        <v>308</v>
      </c>
      <c r="AA294" s="16">
        <f>IF('Calculation Sheet'!$D$11,'Manager Sheet'!$E$11,NA())</f>
        <v>200</v>
      </c>
    </row>
    <row r="295" spans="15:27" x14ac:dyDescent="0.25">
      <c r="O295" s="4">
        <v>287</v>
      </c>
      <c r="P295" s="4">
        <f t="shared" si="29"/>
        <v>930</v>
      </c>
      <c r="Q295" s="5">
        <f>'Manager Sheet'!U294</f>
        <v>309</v>
      </c>
      <c r="R295" s="5">
        <f t="shared" si="24"/>
        <v>309</v>
      </c>
      <c r="S295" s="5">
        <f t="shared" si="25"/>
        <v>0</v>
      </c>
      <c r="T295" s="5">
        <f t="shared" si="26"/>
        <v>621</v>
      </c>
      <c r="U295" s="42">
        <f>T295*'Constants Sheet'!$E$13</f>
        <v>51.041095890410958</v>
      </c>
      <c r="V295" s="40">
        <f>IF(T295&lt;'Manager Sheet'!$E$11,'Manager Sheet'!$E$14,0)</f>
        <v>0</v>
      </c>
      <c r="W295" s="45">
        <f>IFERROR(VLOOKUP(V295,'Constants Sheet'!$H$11:$J$14,3,TRUE),0)</f>
        <v>0</v>
      </c>
      <c r="Y295" s="15">
        <f t="shared" si="27"/>
        <v>621</v>
      </c>
      <c r="Z295">
        <f t="shared" si="28"/>
        <v>309</v>
      </c>
      <c r="AA295" s="16">
        <f>IF('Calculation Sheet'!$D$11,'Manager Sheet'!$E$11,NA())</f>
        <v>200</v>
      </c>
    </row>
    <row r="296" spans="15:27" x14ac:dyDescent="0.25">
      <c r="O296" s="4">
        <v>288</v>
      </c>
      <c r="P296" s="4">
        <f t="shared" si="29"/>
        <v>621</v>
      </c>
      <c r="Q296" s="5">
        <f>'Manager Sheet'!U295</f>
        <v>485</v>
      </c>
      <c r="R296" s="5">
        <f t="shared" si="24"/>
        <v>485</v>
      </c>
      <c r="S296" s="5">
        <f t="shared" si="25"/>
        <v>0</v>
      </c>
      <c r="T296" s="5">
        <f t="shared" si="26"/>
        <v>136</v>
      </c>
      <c r="U296" s="42">
        <f>T296*'Constants Sheet'!$E$13</f>
        <v>11.17808219178082</v>
      </c>
      <c r="V296" s="40">
        <f>IF(T296&lt;'Manager Sheet'!$E$11,'Manager Sheet'!$E$14,0)</f>
        <v>5000</v>
      </c>
      <c r="W296" s="45">
        <f>IFERROR(VLOOKUP(V296,'Constants Sheet'!$H$11:$J$14,3,TRUE),0)</f>
        <v>175</v>
      </c>
      <c r="Y296" s="15">
        <f t="shared" si="27"/>
        <v>136</v>
      </c>
      <c r="Z296">
        <f t="shared" si="28"/>
        <v>485</v>
      </c>
      <c r="AA296" s="16">
        <f>IF('Calculation Sheet'!$D$11,'Manager Sheet'!$E$11,NA())</f>
        <v>200</v>
      </c>
    </row>
    <row r="297" spans="15:27" x14ac:dyDescent="0.25">
      <c r="O297" s="4">
        <v>289</v>
      </c>
      <c r="P297" s="4">
        <f t="shared" si="29"/>
        <v>5136</v>
      </c>
      <c r="Q297" s="5">
        <f>'Manager Sheet'!U296</f>
        <v>459</v>
      </c>
      <c r="R297" s="5">
        <f t="shared" si="24"/>
        <v>459</v>
      </c>
      <c r="S297" s="5">
        <f t="shared" si="25"/>
        <v>0</v>
      </c>
      <c r="T297" s="5">
        <f t="shared" si="26"/>
        <v>4677</v>
      </c>
      <c r="U297" s="42">
        <f>T297*'Constants Sheet'!$E$13</f>
        <v>384.41095890410958</v>
      </c>
      <c r="V297" s="40">
        <f>IF(T297&lt;'Manager Sheet'!$E$11,'Manager Sheet'!$E$14,0)</f>
        <v>0</v>
      </c>
      <c r="W297" s="45">
        <f>IFERROR(VLOOKUP(V297,'Constants Sheet'!$H$11:$J$14,3,TRUE),0)</f>
        <v>0</v>
      </c>
      <c r="Y297" s="15">
        <f t="shared" si="27"/>
        <v>4677</v>
      </c>
      <c r="Z297">
        <f t="shared" si="28"/>
        <v>459</v>
      </c>
      <c r="AA297" s="16">
        <f>IF('Calculation Sheet'!$D$11,'Manager Sheet'!$E$11,NA())</f>
        <v>200</v>
      </c>
    </row>
    <row r="298" spans="15:27" x14ac:dyDescent="0.25">
      <c r="O298" s="4">
        <v>290</v>
      </c>
      <c r="P298" s="4">
        <f t="shared" si="29"/>
        <v>4677</v>
      </c>
      <c r="Q298" s="5">
        <f>'Manager Sheet'!U297</f>
        <v>681</v>
      </c>
      <c r="R298" s="5">
        <f t="shared" si="24"/>
        <v>681</v>
      </c>
      <c r="S298" s="5">
        <f t="shared" si="25"/>
        <v>0</v>
      </c>
      <c r="T298" s="5">
        <f t="shared" si="26"/>
        <v>3996</v>
      </c>
      <c r="U298" s="42">
        <f>T298*'Constants Sheet'!$E$13</f>
        <v>328.43835616438355</v>
      </c>
      <c r="V298" s="40">
        <f>IF(T298&lt;'Manager Sheet'!$E$11,'Manager Sheet'!$E$14,0)</f>
        <v>0</v>
      </c>
      <c r="W298" s="45">
        <f>IFERROR(VLOOKUP(V298,'Constants Sheet'!$H$11:$J$14,3,TRUE),0)</f>
        <v>0</v>
      </c>
      <c r="Y298" s="15">
        <f t="shared" si="27"/>
        <v>3996</v>
      </c>
      <c r="Z298">
        <f t="shared" si="28"/>
        <v>681</v>
      </c>
      <c r="AA298" s="16">
        <f>IF('Calculation Sheet'!$D$11,'Manager Sheet'!$E$11,NA())</f>
        <v>200</v>
      </c>
    </row>
    <row r="299" spans="15:27" x14ac:dyDescent="0.25">
      <c r="O299" s="4">
        <v>291</v>
      </c>
      <c r="P299" s="4">
        <f t="shared" si="29"/>
        <v>3996</v>
      </c>
      <c r="Q299" s="5">
        <f>'Manager Sheet'!U298</f>
        <v>665</v>
      </c>
      <c r="R299" s="5">
        <f t="shared" si="24"/>
        <v>665</v>
      </c>
      <c r="S299" s="5">
        <f t="shared" si="25"/>
        <v>0</v>
      </c>
      <c r="T299" s="5">
        <f t="shared" si="26"/>
        <v>3331</v>
      </c>
      <c r="U299" s="42">
        <f>T299*'Constants Sheet'!$E$13</f>
        <v>273.78082191780823</v>
      </c>
      <c r="V299" s="40">
        <f>IF(T299&lt;'Manager Sheet'!$E$11,'Manager Sheet'!$E$14,0)</f>
        <v>0</v>
      </c>
      <c r="W299" s="45">
        <f>IFERROR(VLOOKUP(V299,'Constants Sheet'!$H$11:$J$14,3,TRUE),0)</f>
        <v>0</v>
      </c>
      <c r="Y299" s="15">
        <f t="shared" si="27"/>
        <v>3331</v>
      </c>
      <c r="Z299">
        <f t="shared" si="28"/>
        <v>665</v>
      </c>
      <c r="AA299" s="16">
        <f>IF('Calculation Sheet'!$D$11,'Manager Sheet'!$E$11,NA())</f>
        <v>200</v>
      </c>
    </row>
    <row r="300" spans="15:27" x14ac:dyDescent="0.25">
      <c r="O300" s="4">
        <v>292</v>
      </c>
      <c r="P300" s="4">
        <f t="shared" si="29"/>
        <v>3331</v>
      </c>
      <c r="Q300" s="5">
        <f>'Manager Sheet'!U299</f>
        <v>389</v>
      </c>
      <c r="R300" s="5">
        <f t="shared" si="24"/>
        <v>389</v>
      </c>
      <c r="S300" s="5">
        <f t="shared" si="25"/>
        <v>0</v>
      </c>
      <c r="T300" s="5">
        <f t="shared" si="26"/>
        <v>2942</v>
      </c>
      <c r="U300" s="42">
        <f>T300*'Constants Sheet'!$E$13</f>
        <v>241.80821917808217</v>
      </c>
      <c r="V300" s="40">
        <f>IF(T300&lt;'Manager Sheet'!$E$11,'Manager Sheet'!$E$14,0)</f>
        <v>0</v>
      </c>
      <c r="W300" s="45">
        <f>IFERROR(VLOOKUP(V300,'Constants Sheet'!$H$11:$J$14,3,TRUE),0)</f>
        <v>0</v>
      </c>
      <c r="Y300" s="15">
        <f t="shared" si="27"/>
        <v>2942</v>
      </c>
      <c r="Z300">
        <f t="shared" si="28"/>
        <v>389</v>
      </c>
      <c r="AA300" s="16">
        <f>IF('Calculation Sheet'!$D$11,'Manager Sheet'!$E$11,NA())</f>
        <v>200</v>
      </c>
    </row>
    <row r="301" spans="15:27" x14ac:dyDescent="0.25">
      <c r="O301" s="4">
        <v>293</v>
      </c>
      <c r="P301" s="4">
        <f t="shared" si="29"/>
        <v>2942</v>
      </c>
      <c r="Q301" s="5">
        <f>'Manager Sheet'!U300</f>
        <v>800</v>
      </c>
      <c r="R301" s="5">
        <f t="shared" si="24"/>
        <v>800</v>
      </c>
      <c r="S301" s="5">
        <f t="shared" si="25"/>
        <v>0</v>
      </c>
      <c r="T301" s="5">
        <f t="shared" si="26"/>
        <v>2142</v>
      </c>
      <c r="U301" s="42">
        <f>T301*'Constants Sheet'!$E$13</f>
        <v>176.05479452054794</v>
      </c>
      <c r="V301" s="40">
        <f>IF(T301&lt;'Manager Sheet'!$E$11,'Manager Sheet'!$E$14,0)</f>
        <v>0</v>
      </c>
      <c r="W301" s="45">
        <f>IFERROR(VLOOKUP(V301,'Constants Sheet'!$H$11:$J$14,3,TRUE),0)</f>
        <v>0</v>
      </c>
      <c r="Y301" s="15">
        <f t="shared" si="27"/>
        <v>2142</v>
      </c>
      <c r="Z301">
        <f t="shared" si="28"/>
        <v>800</v>
      </c>
      <c r="AA301" s="16">
        <f>IF('Calculation Sheet'!$D$11,'Manager Sheet'!$E$11,NA())</f>
        <v>200</v>
      </c>
    </row>
    <row r="302" spans="15:27" x14ac:dyDescent="0.25">
      <c r="O302" s="4">
        <v>294</v>
      </c>
      <c r="P302" s="4">
        <f t="shared" si="29"/>
        <v>2142</v>
      </c>
      <c r="Q302" s="5">
        <f>'Manager Sheet'!U301</f>
        <v>489</v>
      </c>
      <c r="R302" s="5">
        <f t="shared" si="24"/>
        <v>489</v>
      </c>
      <c r="S302" s="5">
        <f t="shared" si="25"/>
        <v>0</v>
      </c>
      <c r="T302" s="5">
        <f t="shared" si="26"/>
        <v>1653</v>
      </c>
      <c r="U302" s="42">
        <f>T302*'Constants Sheet'!$E$13</f>
        <v>135.86301369863014</v>
      </c>
      <c r="V302" s="40">
        <f>IF(T302&lt;'Manager Sheet'!$E$11,'Manager Sheet'!$E$14,0)</f>
        <v>0</v>
      </c>
      <c r="W302" s="45">
        <f>IFERROR(VLOOKUP(V302,'Constants Sheet'!$H$11:$J$14,3,TRUE),0)</f>
        <v>0</v>
      </c>
      <c r="Y302" s="15">
        <f t="shared" si="27"/>
        <v>1653</v>
      </c>
      <c r="Z302">
        <f t="shared" si="28"/>
        <v>489</v>
      </c>
      <c r="AA302" s="16">
        <f>IF('Calculation Sheet'!$D$11,'Manager Sheet'!$E$11,NA())</f>
        <v>200</v>
      </c>
    </row>
    <row r="303" spans="15:27" x14ac:dyDescent="0.25">
      <c r="O303" s="4">
        <v>295</v>
      </c>
      <c r="P303" s="4">
        <f t="shared" si="29"/>
        <v>1653</v>
      </c>
      <c r="Q303" s="5">
        <f>'Manager Sheet'!U302</f>
        <v>312</v>
      </c>
      <c r="R303" s="5">
        <f t="shared" si="24"/>
        <v>312</v>
      </c>
      <c r="S303" s="5">
        <f t="shared" si="25"/>
        <v>0</v>
      </c>
      <c r="T303" s="5">
        <f t="shared" si="26"/>
        <v>1341</v>
      </c>
      <c r="U303" s="42">
        <f>T303*'Constants Sheet'!$E$13</f>
        <v>110.21917808219177</v>
      </c>
      <c r="V303" s="40">
        <f>IF(T303&lt;'Manager Sheet'!$E$11,'Manager Sheet'!$E$14,0)</f>
        <v>0</v>
      </c>
      <c r="W303" s="45">
        <f>IFERROR(VLOOKUP(V303,'Constants Sheet'!$H$11:$J$14,3,TRUE),0)</f>
        <v>0</v>
      </c>
      <c r="Y303" s="15">
        <f t="shared" si="27"/>
        <v>1341</v>
      </c>
      <c r="Z303">
        <f t="shared" si="28"/>
        <v>312</v>
      </c>
      <c r="AA303" s="16">
        <f>IF('Calculation Sheet'!$D$11,'Manager Sheet'!$E$11,NA())</f>
        <v>200</v>
      </c>
    </row>
    <row r="304" spans="15:27" x14ac:dyDescent="0.25">
      <c r="O304" s="4">
        <v>296</v>
      </c>
      <c r="P304" s="4">
        <f t="shared" si="29"/>
        <v>1341</v>
      </c>
      <c r="Q304" s="5">
        <f>'Manager Sheet'!U303</f>
        <v>595</v>
      </c>
      <c r="R304" s="5">
        <f t="shared" si="24"/>
        <v>595</v>
      </c>
      <c r="S304" s="5">
        <f t="shared" si="25"/>
        <v>0</v>
      </c>
      <c r="T304" s="5">
        <f t="shared" si="26"/>
        <v>746</v>
      </c>
      <c r="U304" s="42">
        <f>T304*'Constants Sheet'!$E$13</f>
        <v>61.315068493150683</v>
      </c>
      <c r="V304" s="40">
        <f>IF(T304&lt;'Manager Sheet'!$E$11,'Manager Sheet'!$E$14,0)</f>
        <v>0</v>
      </c>
      <c r="W304" s="45">
        <f>IFERROR(VLOOKUP(V304,'Constants Sheet'!$H$11:$J$14,3,TRUE),0)</f>
        <v>0</v>
      </c>
      <c r="Y304" s="15">
        <f t="shared" si="27"/>
        <v>746</v>
      </c>
      <c r="Z304">
        <f t="shared" si="28"/>
        <v>595</v>
      </c>
      <c r="AA304" s="16">
        <f>IF('Calculation Sheet'!$D$11,'Manager Sheet'!$E$11,NA())</f>
        <v>200</v>
      </c>
    </row>
    <row r="305" spans="15:27" x14ac:dyDescent="0.25">
      <c r="O305" s="4">
        <v>297</v>
      </c>
      <c r="P305" s="4">
        <f t="shared" si="29"/>
        <v>746</v>
      </c>
      <c r="Q305" s="5">
        <f>'Manager Sheet'!U304</f>
        <v>635</v>
      </c>
      <c r="R305" s="5">
        <f t="shared" si="24"/>
        <v>635</v>
      </c>
      <c r="S305" s="5">
        <f t="shared" si="25"/>
        <v>0</v>
      </c>
      <c r="T305" s="5">
        <f t="shared" si="26"/>
        <v>111</v>
      </c>
      <c r="U305" s="42">
        <f>T305*'Constants Sheet'!$E$13</f>
        <v>9.1232876712328768</v>
      </c>
      <c r="V305" s="40">
        <f>IF(T305&lt;'Manager Sheet'!$E$11,'Manager Sheet'!$E$14,0)</f>
        <v>5000</v>
      </c>
      <c r="W305" s="45">
        <f>IFERROR(VLOOKUP(V305,'Constants Sheet'!$H$11:$J$14,3,TRUE),0)</f>
        <v>175</v>
      </c>
      <c r="Y305" s="15">
        <f t="shared" si="27"/>
        <v>111</v>
      </c>
      <c r="Z305">
        <f t="shared" si="28"/>
        <v>635</v>
      </c>
      <c r="AA305" s="16">
        <f>IF('Calculation Sheet'!$D$11,'Manager Sheet'!$E$11,NA())</f>
        <v>200</v>
      </c>
    </row>
    <row r="306" spans="15:27" x14ac:dyDescent="0.25">
      <c r="O306" s="4">
        <v>298</v>
      </c>
      <c r="P306" s="4">
        <f t="shared" si="29"/>
        <v>5111</v>
      </c>
      <c r="Q306" s="5">
        <f>'Manager Sheet'!U305</f>
        <v>637</v>
      </c>
      <c r="R306" s="5">
        <f t="shared" si="24"/>
        <v>637</v>
      </c>
      <c r="S306" s="5">
        <f t="shared" si="25"/>
        <v>0</v>
      </c>
      <c r="T306" s="5">
        <f t="shared" si="26"/>
        <v>4474</v>
      </c>
      <c r="U306" s="42">
        <f>T306*'Constants Sheet'!$E$13</f>
        <v>367.72602739726028</v>
      </c>
      <c r="V306" s="40">
        <f>IF(T306&lt;'Manager Sheet'!$E$11,'Manager Sheet'!$E$14,0)</f>
        <v>0</v>
      </c>
      <c r="W306" s="45">
        <f>IFERROR(VLOOKUP(V306,'Constants Sheet'!$H$11:$J$14,3,TRUE),0)</f>
        <v>0</v>
      </c>
      <c r="Y306" s="15">
        <f t="shared" si="27"/>
        <v>4474</v>
      </c>
      <c r="Z306">
        <f t="shared" si="28"/>
        <v>637</v>
      </c>
      <c r="AA306" s="16">
        <f>IF('Calculation Sheet'!$D$11,'Manager Sheet'!$E$11,NA())</f>
        <v>200</v>
      </c>
    </row>
    <row r="307" spans="15:27" x14ac:dyDescent="0.25">
      <c r="O307" s="4">
        <v>299</v>
      </c>
      <c r="P307" s="4">
        <f t="shared" si="29"/>
        <v>4474</v>
      </c>
      <c r="Q307" s="5">
        <f>'Manager Sheet'!U306</f>
        <v>537</v>
      </c>
      <c r="R307" s="5">
        <f t="shared" si="24"/>
        <v>537</v>
      </c>
      <c r="S307" s="5">
        <f t="shared" si="25"/>
        <v>0</v>
      </c>
      <c r="T307" s="5">
        <f t="shared" si="26"/>
        <v>3937</v>
      </c>
      <c r="U307" s="42">
        <f>T307*'Constants Sheet'!$E$13</f>
        <v>323.58904109589037</v>
      </c>
      <c r="V307" s="40">
        <f>IF(T307&lt;'Manager Sheet'!$E$11,'Manager Sheet'!$E$14,0)</f>
        <v>0</v>
      </c>
      <c r="W307" s="45">
        <f>IFERROR(VLOOKUP(V307,'Constants Sheet'!$H$11:$J$14,3,TRUE),0)</f>
        <v>0</v>
      </c>
      <c r="Y307" s="15">
        <f t="shared" si="27"/>
        <v>3937</v>
      </c>
      <c r="Z307">
        <f t="shared" si="28"/>
        <v>537</v>
      </c>
      <c r="AA307" s="16">
        <f>IF('Calculation Sheet'!$D$11,'Manager Sheet'!$E$11,NA())</f>
        <v>200</v>
      </c>
    </row>
    <row r="308" spans="15:27" x14ac:dyDescent="0.25">
      <c r="O308" s="4">
        <v>300</v>
      </c>
      <c r="P308" s="4">
        <f t="shared" si="29"/>
        <v>3937</v>
      </c>
      <c r="Q308" s="5">
        <f>'Manager Sheet'!U307</f>
        <v>687</v>
      </c>
      <c r="R308" s="5">
        <f t="shared" si="24"/>
        <v>687</v>
      </c>
      <c r="S308" s="5">
        <f t="shared" si="25"/>
        <v>0</v>
      </c>
      <c r="T308" s="5">
        <f t="shared" si="26"/>
        <v>3250</v>
      </c>
      <c r="U308" s="42">
        <f>T308*'Constants Sheet'!$E$13</f>
        <v>267.12328767123284</v>
      </c>
      <c r="V308" s="40">
        <f>IF(T308&lt;'Manager Sheet'!$E$11,'Manager Sheet'!$E$14,0)</f>
        <v>0</v>
      </c>
      <c r="W308" s="45">
        <f>IFERROR(VLOOKUP(V308,'Constants Sheet'!$H$11:$J$14,3,TRUE),0)</f>
        <v>0</v>
      </c>
      <c r="Y308" s="15">
        <f t="shared" si="27"/>
        <v>3250</v>
      </c>
      <c r="Z308">
        <f t="shared" si="28"/>
        <v>687</v>
      </c>
      <c r="AA308" s="16">
        <f>IF('Calculation Sheet'!$D$11,'Manager Sheet'!$E$11,NA())</f>
        <v>200</v>
      </c>
    </row>
    <row r="309" spans="15:27" x14ac:dyDescent="0.25">
      <c r="O309" s="4">
        <v>301</v>
      </c>
      <c r="P309" s="4">
        <f t="shared" si="29"/>
        <v>3250</v>
      </c>
      <c r="Q309" s="5">
        <f>'Manager Sheet'!U308</f>
        <v>436</v>
      </c>
      <c r="R309" s="5">
        <f t="shared" si="24"/>
        <v>436</v>
      </c>
      <c r="S309" s="5">
        <f t="shared" si="25"/>
        <v>0</v>
      </c>
      <c r="T309" s="5">
        <f t="shared" si="26"/>
        <v>2814</v>
      </c>
      <c r="U309" s="42">
        <f>T309*'Constants Sheet'!$E$13</f>
        <v>231.2876712328767</v>
      </c>
      <c r="V309" s="40">
        <f>IF(T309&lt;'Manager Sheet'!$E$11,'Manager Sheet'!$E$14,0)</f>
        <v>0</v>
      </c>
      <c r="W309" s="45">
        <f>IFERROR(VLOOKUP(V309,'Constants Sheet'!$H$11:$J$14,3,TRUE),0)</f>
        <v>0</v>
      </c>
      <c r="Y309" s="15">
        <f t="shared" si="27"/>
        <v>2814</v>
      </c>
      <c r="Z309">
        <f t="shared" si="28"/>
        <v>436</v>
      </c>
      <c r="AA309" s="16">
        <f>IF('Calculation Sheet'!$D$11,'Manager Sheet'!$E$11,NA())</f>
        <v>200</v>
      </c>
    </row>
    <row r="310" spans="15:27" x14ac:dyDescent="0.25">
      <c r="O310" s="4">
        <v>302</v>
      </c>
      <c r="P310" s="4">
        <f t="shared" si="29"/>
        <v>2814</v>
      </c>
      <c r="Q310" s="5">
        <f>'Manager Sheet'!U309</f>
        <v>460</v>
      </c>
      <c r="R310" s="5">
        <f t="shared" si="24"/>
        <v>460</v>
      </c>
      <c r="S310" s="5">
        <f t="shared" si="25"/>
        <v>0</v>
      </c>
      <c r="T310" s="5">
        <f t="shared" si="26"/>
        <v>2354</v>
      </c>
      <c r="U310" s="42">
        <f>T310*'Constants Sheet'!$E$13</f>
        <v>193.47945205479451</v>
      </c>
      <c r="V310" s="40">
        <f>IF(T310&lt;'Manager Sheet'!$E$11,'Manager Sheet'!$E$14,0)</f>
        <v>0</v>
      </c>
      <c r="W310" s="45">
        <f>IFERROR(VLOOKUP(V310,'Constants Sheet'!$H$11:$J$14,3,TRUE),0)</f>
        <v>0</v>
      </c>
      <c r="Y310" s="15">
        <f t="shared" si="27"/>
        <v>2354</v>
      </c>
      <c r="Z310">
        <f t="shared" si="28"/>
        <v>460</v>
      </c>
      <c r="AA310" s="16">
        <f>IF('Calculation Sheet'!$D$11,'Manager Sheet'!$E$11,NA())</f>
        <v>200</v>
      </c>
    </row>
    <row r="311" spans="15:27" x14ac:dyDescent="0.25">
      <c r="O311" s="4">
        <v>303</v>
      </c>
      <c r="P311" s="4">
        <f t="shared" si="29"/>
        <v>2354</v>
      </c>
      <c r="Q311" s="5">
        <f>'Manager Sheet'!U310</f>
        <v>191</v>
      </c>
      <c r="R311" s="5">
        <f t="shared" si="24"/>
        <v>191</v>
      </c>
      <c r="S311" s="5">
        <f t="shared" si="25"/>
        <v>0</v>
      </c>
      <c r="T311" s="5">
        <f t="shared" si="26"/>
        <v>2163</v>
      </c>
      <c r="U311" s="42">
        <f>T311*'Constants Sheet'!$E$13</f>
        <v>177.7808219178082</v>
      </c>
      <c r="V311" s="40">
        <f>IF(T311&lt;'Manager Sheet'!$E$11,'Manager Sheet'!$E$14,0)</f>
        <v>0</v>
      </c>
      <c r="W311" s="45">
        <f>IFERROR(VLOOKUP(V311,'Constants Sheet'!$H$11:$J$14,3,TRUE),0)</f>
        <v>0</v>
      </c>
      <c r="Y311" s="15">
        <f t="shared" si="27"/>
        <v>2163</v>
      </c>
      <c r="Z311">
        <f t="shared" si="28"/>
        <v>191</v>
      </c>
      <c r="AA311" s="16">
        <f>IF('Calculation Sheet'!$D$11,'Manager Sheet'!$E$11,NA())</f>
        <v>200</v>
      </c>
    </row>
    <row r="312" spans="15:27" x14ac:dyDescent="0.25">
      <c r="O312" s="4">
        <v>304</v>
      </c>
      <c r="P312" s="4">
        <f t="shared" si="29"/>
        <v>2163</v>
      </c>
      <c r="Q312" s="5">
        <f>'Manager Sheet'!U311</f>
        <v>523</v>
      </c>
      <c r="R312" s="5">
        <f t="shared" si="24"/>
        <v>523</v>
      </c>
      <c r="S312" s="5">
        <f t="shared" si="25"/>
        <v>0</v>
      </c>
      <c r="T312" s="5">
        <f t="shared" si="26"/>
        <v>1640</v>
      </c>
      <c r="U312" s="42">
        <f>T312*'Constants Sheet'!$E$13</f>
        <v>134.79452054794521</v>
      </c>
      <c r="V312" s="40">
        <f>IF(T312&lt;'Manager Sheet'!$E$11,'Manager Sheet'!$E$14,0)</f>
        <v>0</v>
      </c>
      <c r="W312" s="45">
        <f>IFERROR(VLOOKUP(V312,'Constants Sheet'!$H$11:$J$14,3,TRUE),0)</f>
        <v>0</v>
      </c>
      <c r="Y312" s="15">
        <f t="shared" si="27"/>
        <v>1640</v>
      </c>
      <c r="Z312">
        <f t="shared" si="28"/>
        <v>523</v>
      </c>
      <c r="AA312" s="16">
        <f>IF('Calculation Sheet'!$D$11,'Manager Sheet'!$E$11,NA())</f>
        <v>200</v>
      </c>
    </row>
    <row r="313" spans="15:27" x14ac:dyDescent="0.25">
      <c r="O313" s="4">
        <v>305</v>
      </c>
      <c r="P313" s="4">
        <f t="shared" si="29"/>
        <v>1640</v>
      </c>
      <c r="Q313" s="5">
        <f>'Manager Sheet'!U312</f>
        <v>667</v>
      </c>
      <c r="R313" s="5">
        <f t="shared" si="24"/>
        <v>667</v>
      </c>
      <c r="S313" s="5">
        <f t="shared" si="25"/>
        <v>0</v>
      </c>
      <c r="T313" s="5">
        <f t="shared" si="26"/>
        <v>973</v>
      </c>
      <c r="U313" s="42">
        <f>T313*'Constants Sheet'!$E$13</f>
        <v>79.972602739726028</v>
      </c>
      <c r="V313" s="40">
        <f>IF(T313&lt;'Manager Sheet'!$E$11,'Manager Sheet'!$E$14,0)</f>
        <v>0</v>
      </c>
      <c r="W313" s="45">
        <f>IFERROR(VLOOKUP(V313,'Constants Sheet'!$H$11:$J$14,3,TRUE),0)</f>
        <v>0</v>
      </c>
      <c r="Y313" s="15">
        <f t="shared" si="27"/>
        <v>973</v>
      </c>
      <c r="Z313">
        <f t="shared" si="28"/>
        <v>667</v>
      </c>
      <c r="AA313" s="16">
        <f>IF('Calculation Sheet'!$D$11,'Manager Sheet'!$E$11,NA())</f>
        <v>200</v>
      </c>
    </row>
    <row r="314" spans="15:27" x14ac:dyDescent="0.25">
      <c r="O314" s="4">
        <v>306</v>
      </c>
      <c r="P314" s="4">
        <f t="shared" si="29"/>
        <v>973</v>
      </c>
      <c r="Q314" s="5">
        <f>'Manager Sheet'!U313</f>
        <v>294</v>
      </c>
      <c r="R314" s="5">
        <f t="shared" si="24"/>
        <v>294</v>
      </c>
      <c r="S314" s="5">
        <f t="shared" si="25"/>
        <v>0</v>
      </c>
      <c r="T314" s="5">
        <f t="shared" si="26"/>
        <v>679</v>
      </c>
      <c r="U314" s="42">
        <f>T314*'Constants Sheet'!$E$13</f>
        <v>55.80821917808219</v>
      </c>
      <c r="V314" s="40">
        <f>IF(T314&lt;'Manager Sheet'!$E$11,'Manager Sheet'!$E$14,0)</f>
        <v>0</v>
      </c>
      <c r="W314" s="45">
        <f>IFERROR(VLOOKUP(V314,'Constants Sheet'!$H$11:$J$14,3,TRUE),0)</f>
        <v>0</v>
      </c>
      <c r="Y314" s="15">
        <f t="shared" si="27"/>
        <v>679</v>
      </c>
      <c r="Z314">
        <f t="shared" si="28"/>
        <v>294</v>
      </c>
      <c r="AA314" s="16">
        <f>IF('Calculation Sheet'!$D$11,'Manager Sheet'!$E$11,NA())</f>
        <v>200</v>
      </c>
    </row>
    <row r="315" spans="15:27" x14ac:dyDescent="0.25">
      <c r="O315" s="4">
        <v>307</v>
      </c>
      <c r="P315" s="4">
        <f t="shared" si="29"/>
        <v>679</v>
      </c>
      <c r="Q315" s="5">
        <f>'Manager Sheet'!U314</f>
        <v>429</v>
      </c>
      <c r="R315" s="5">
        <f t="shared" si="24"/>
        <v>429</v>
      </c>
      <c r="S315" s="5">
        <f t="shared" si="25"/>
        <v>0</v>
      </c>
      <c r="T315" s="5">
        <f t="shared" si="26"/>
        <v>250</v>
      </c>
      <c r="U315" s="42">
        <f>T315*'Constants Sheet'!$E$13</f>
        <v>20.547945205479451</v>
      </c>
      <c r="V315" s="40">
        <f>IF(T315&lt;'Manager Sheet'!$E$11,'Manager Sheet'!$E$14,0)</f>
        <v>0</v>
      </c>
      <c r="W315" s="45">
        <f>IFERROR(VLOOKUP(V315,'Constants Sheet'!$H$11:$J$14,3,TRUE),0)</f>
        <v>0</v>
      </c>
      <c r="Y315" s="15">
        <f t="shared" si="27"/>
        <v>250</v>
      </c>
      <c r="Z315">
        <f t="shared" si="28"/>
        <v>429</v>
      </c>
      <c r="AA315" s="16">
        <f>IF('Calculation Sheet'!$D$11,'Manager Sheet'!$E$11,NA())</f>
        <v>200</v>
      </c>
    </row>
    <row r="316" spans="15:27" x14ac:dyDescent="0.25">
      <c r="O316" s="4">
        <v>308</v>
      </c>
      <c r="P316" s="4">
        <f t="shared" si="29"/>
        <v>250</v>
      </c>
      <c r="Q316" s="5">
        <f>'Manager Sheet'!U315</f>
        <v>767</v>
      </c>
      <c r="R316" s="5">
        <f t="shared" si="24"/>
        <v>250</v>
      </c>
      <c r="S316" s="5">
        <f t="shared" si="25"/>
        <v>517</v>
      </c>
      <c r="T316" s="5">
        <f t="shared" si="26"/>
        <v>0</v>
      </c>
      <c r="U316" s="42">
        <f>T316*'Constants Sheet'!$E$13</f>
        <v>0</v>
      </c>
      <c r="V316" s="40">
        <f>IF(T316&lt;'Manager Sheet'!$E$11,'Manager Sheet'!$E$14,0)</f>
        <v>5000</v>
      </c>
      <c r="W316" s="45">
        <f>IFERROR(VLOOKUP(V316,'Constants Sheet'!$H$11:$J$14,3,TRUE),0)</f>
        <v>175</v>
      </c>
      <c r="Y316" s="15">
        <f t="shared" si="27"/>
        <v>0</v>
      </c>
      <c r="Z316">
        <f t="shared" si="28"/>
        <v>767</v>
      </c>
      <c r="AA316" s="16">
        <f>IF('Calculation Sheet'!$D$11,'Manager Sheet'!$E$11,NA())</f>
        <v>200</v>
      </c>
    </row>
    <row r="317" spans="15:27" x14ac:dyDescent="0.25">
      <c r="O317" s="4">
        <v>309</v>
      </c>
      <c r="P317" s="4">
        <f t="shared" si="29"/>
        <v>5000</v>
      </c>
      <c r="Q317" s="5">
        <f>'Manager Sheet'!U316</f>
        <v>318</v>
      </c>
      <c r="R317" s="5">
        <f t="shared" si="24"/>
        <v>318</v>
      </c>
      <c r="S317" s="5">
        <f t="shared" si="25"/>
        <v>0</v>
      </c>
      <c r="T317" s="5">
        <f t="shared" si="26"/>
        <v>4682</v>
      </c>
      <c r="U317" s="42">
        <f>T317*'Constants Sheet'!$E$13</f>
        <v>384.82191780821915</v>
      </c>
      <c r="V317" s="40">
        <f>IF(T317&lt;'Manager Sheet'!$E$11,'Manager Sheet'!$E$14,0)</f>
        <v>0</v>
      </c>
      <c r="W317" s="45">
        <f>IFERROR(VLOOKUP(V317,'Constants Sheet'!$H$11:$J$14,3,TRUE),0)</f>
        <v>0</v>
      </c>
      <c r="Y317" s="15">
        <f t="shared" si="27"/>
        <v>4682</v>
      </c>
      <c r="Z317">
        <f t="shared" si="28"/>
        <v>318</v>
      </c>
      <c r="AA317" s="16">
        <f>IF('Calculation Sheet'!$D$11,'Manager Sheet'!$E$11,NA())</f>
        <v>200</v>
      </c>
    </row>
    <row r="318" spans="15:27" x14ac:dyDescent="0.25">
      <c r="O318" s="4">
        <v>310</v>
      </c>
      <c r="P318" s="4">
        <f t="shared" si="29"/>
        <v>4682</v>
      </c>
      <c r="Q318" s="5">
        <f>'Manager Sheet'!U317</f>
        <v>414</v>
      </c>
      <c r="R318" s="5">
        <f t="shared" si="24"/>
        <v>414</v>
      </c>
      <c r="S318" s="5">
        <f t="shared" si="25"/>
        <v>0</v>
      </c>
      <c r="T318" s="5">
        <f t="shared" si="26"/>
        <v>4268</v>
      </c>
      <c r="U318" s="42">
        <f>T318*'Constants Sheet'!$E$13</f>
        <v>350.79452054794518</v>
      </c>
      <c r="V318" s="40">
        <f>IF(T318&lt;'Manager Sheet'!$E$11,'Manager Sheet'!$E$14,0)</f>
        <v>0</v>
      </c>
      <c r="W318" s="45">
        <f>IFERROR(VLOOKUP(V318,'Constants Sheet'!$H$11:$J$14,3,TRUE),0)</f>
        <v>0</v>
      </c>
      <c r="Y318" s="15">
        <f t="shared" si="27"/>
        <v>4268</v>
      </c>
      <c r="Z318">
        <f t="shared" si="28"/>
        <v>414</v>
      </c>
      <c r="AA318" s="16">
        <f>IF('Calculation Sheet'!$D$11,'Manager Sheet'!$E$11,NA())</f>
        <v>200</v>
      </c>
    </row>
    <row r="319" spans="15:27" x14ac:dyDescent="0.25">
      <c r="O319" s="4">
        <v>311</v>
      </c>
      <c r="P319" s="4">
        <f t="shared" si="29"/>
        <v>4268</v>
      </c>
      <c r="Q319" s="5">
        <f>'Manager Sheet'!U318</f>
        <v>644</v>
      </c>
      <c r="R319" s="5">
        <f t="shared" si="24"/>
        <v>644</v>
      </c>
      <c r="S319" s="5">
        <f t="shared" si="25"/>
        <v>0</v>
      </c>
      <c r="T319" s="5">
        <f t="shared" si="26"/>
        <v>3624</v>
      </c>
      <c r="U319" s="42">
        <f>T319*'Constants Sheet'!$E$13</f>
        <v>297.86301369863014</v>
      </c>
      <c r="V319" s="40">
        <f>IF(T319&lt;'Manager Sheet'!$E$11,'Manager Sheet'!$E$14,0)</f>
        <v>0</v>
      </c>
      <c r="W319" s="45">
        <f>IFERROR(VLOOKUP(V319,'Constants Sheet'!$H$11:$J$14,3,TRUE),0)</f>
        <v>0</v>
      </c>
      <c r="Y319" s="15">
        <f t="shared" si="27"/>
        <v>3624</v>
      </c>
      <c r="Z319">
        <f t="shared" si="28"/>
        <v>644</v>
      </c>
      <c r="AA319" s="16">
        <f>IF('Calculation Sheet'!$D$11,'Manager Sheet'!$E$11,NA())</f>
        <v>200</v>
      </c>
    </row>
    <row r="320" spans="15:27" x14ac:dyDescent="0.25">
      <c r="O320" s="4">
        <v>312</v>
      </c>
      <c r="P320" s="4">
        <f t="shared" si="29"/>
        <v>3624</v>
      </c>
      <c r="Q320" s="5">
        <f>'Manager Sheet'!U319</f>
        <v>545</v>
      </c>
      <c r="R320" s="5">
        <f t="shared" si="24"/>
        <v>545</v>
      </c>
      <c r="S320" s="5">
        <f t="shared" si="25"/>
        <v>0</v>
      </c>
      <c r="T320" s="5">
        <f t="shared" si="26"/>
        <v>3079</v>
      </c>
      <c r="U320" s="42">
        <f>T320*'Constants Sheet'!$E$13</f>
        <v>253.06849315068493</v>
      </c>
      <c r="V320" s="40">
        <f>IF(T320&lt;'Manager Sheet'!$E$11,'Manager Sheet'!$E$14,0)</f>
        <v>0</v>
      </c>
      <c r="W320" s="45">
        <f>IFERROR(VLOOKUP(V320,'Constants Sheet'!$H$11:$J$14,3,TRUE),0)</f>
        <v>0</v>
      </c>
      <c r="Y320" s="15">
        <f t="shared" si="27"/>
        <v>3079</v>
      </c>
      <c r="Z320">
        <f t="shared" si="28"/>
        <v>545</v>
      </c>
      <c r="AA320" s="16">
        <f>IF('Calculation Sheet'!$D$11,'Manager Sheet'!$E$11,NA())</f>
        <v>200</v>
      </c>
    </row>
    <row r="321" spans="15:27" x14ac:dyDescent="0.25">
      <c r="O321" s="4">
        <v>313</v>
      </c>
      <c r="P321" s="4">
        <f t="shared" si="29"/>
        <v>3079</v>
      </c>
      <c r="Q321" s="5">
        <f>'Manager Sheet'!U320</f>
        <v>435</v>
      </c>
      <c r="R321" s="5">
        <f t="shared" si="24"/>
        <v>435</v>
      </c>
      <c r="S321" s="5">
        <f t="shared" si="25"/>
        <v>0</v>
      </c>
      <c r="T321" s="5">
        <f t="shared" si="26"/>
        <v>2644</v>
      </c>
      <c r="U321" s="42">
        <f>T321*'Constants Sheet'!$E$13</f>
        <v>217.31506849315068</v>
      </c>
      <c r="V321" s="40">
        <f>IF(T321&lt;'Manager Sheet'!$E$11,'Manager Sheet'!$E$14,0)</f>
        <v>0</v>
      </c>
      <c r="W321" s="45">
        <f>IFERROR(VLOOKUP(V321,'Constants Sheet'!$H$11:$J$14,3,TRUE),0)</f>
        <v>0</v>
      </c>
      <c r="Y321" s="15">
        <f t="shared" si="27"/>
        <v>2644</v>
      </c>
      <c r="Z321">
        <f t="shared" si="28"/>
        <v>435</v>
      </c>
      <c r="AA321" s="16">
        <f>IF('Calculation Sheet'!$D$11,'Manager Sheet'!$E$11,NA())</f>
        <v>200</v>
      </c>
    </row>
    <row r="322" spans="15:27" x14ac:dyDescent="0.25">
      <c r="O322" s="4">
        <v>314</v>
      </c>
      <c r="P322" s="4">
        <f t="shared" si="29"/>
        <v>2644</v>
      </c>
      <c r="Q322" s="5">
        <f>'Manager Sheet'!U321</f>
        <v>441</v>
      </c>
      <c r="R322" s="5">
        <f t="shared" si="24"/>
        <v>441</v>
      </c>
      <c r="S322" s="5">
        <f t="shared" si="25"/>
        <v>0</v>
      </c>
      <c r="T322" s="5">
        <f t="shared" si="26"/>
        <v>2203</v>
      </c>
      <c r="U322" s="42">
        <f>T322*'Constants Sheet'!$E$13</f>
        <v>181.06849315068493</v>
      </c>
      <c r="V322" s="40">
        <f>IF(T322&lt;'Manager Sheet'!$E$11,'Manager Sheet'!$E$14,0)</f>
        <v>0</v>
      </c>
      <c r="W322" s="45">
        <f>IFERROR(VLOOKUP(V322,'Constants Sheet'!$H$11:$J$14,3,TRUE),0)</f>
        <v>0</v>
      </c>
      <c r="Y322" s="15">
        <f t="shared" si="27"/>
        <v>2203</v>
      </c>
      <c r="Z322">
        <f t="shared" si="28"/>
        <v>441</v>
      </c>
      <c r="AA322" s="16">
        <f>IF('Calculation Sheet'!$D$11,'Manager Sheet'!$E$11,NA())</f>
        <v>200</v>
      </c>
    </row>
    <row r="323" spans="15:27" x14ac:dyDescent="0.25">
      <c r="O323" s="4">
        <v>315</v>
      </c>
      <c r="P323" s="4">
        <f t="shared" si="29"/>
        <v>2203</v>
      </c>
      <c r="Q323" s="5">
        <f>'Manager Sheet'!U322</f>
        <v>392</v>
      </c>
      <c r="R323" s="5">
        <f t="shared" si="24"/>
        <v>392</v>
      </c>
      <c r="S323" s="5">
        <f t="shared" si="25"/>
        <v>0</v>
      </c>
      <c r="T323" s="5">
        <f t="shared" si="26"/>
        <v>1811</v>
      </c>
      <c r="U323" s="42">
        <f>T323*'Constants Sheet'!$E$13</f>
        <v>148.84931506849315</v>
      </c>
      <c r="V323" s="40">
        <f>IF(T323&lt;'Manager Sheet'!$E$11,'Manager Sheet'!$E$14,0)</f>
        <v>0</v>
      </c>
      <c r="W323" s="45">
        <f>IFERROR(VLOOKUP(V323,'Constants Sheet'!$H$11:$J$14,3,TRUE),0)</f>
        <v>0</v>
      </c>
      <c r="Y323" s="15">
        <f t="shared" si="27"/>
        <v>1811</v>
      </c>
      <c r="Z323">
        <f t="shared" si="28"/>
        <v>392</v>
      </c>
      <c r="AA323" s="16">
        <f>IF('Calculation Sheet'!$D$11,'Manager Sheet'!$E$11,NA())</f>
        <v>200</v>
      </c>
    </row>
    <row r="324" spans="15:27" x14ac:dyDescent="0.25">
      <c r="O324" s="4">
        <v>316</v>
      </c>
      <c r="P324" s="4">
        <f t="shared" si="29"/>
        <v>1811</v>
      </c>
      <c r="Q324" s="5">
        <f>'Manager Sheet'!U323</f>
        <v>347</v>
      </c>
      <c r="R324" s="5">
        <f t="shared" si="24"/>
        <v>347</v>
      </c>
      <c r="S324" s="5">
        <f t="shared" si="25"/>
        <v>0</v>
      </c>
      <c r="T324" s="5">
        <f t="shared" si="26"/>
        <v>1464</v>
      </c>
      <c r="U324" s="42">
        <f>T324*'Constants Sheet'!$E$13</f>
        <v>120.32876712328766</v>
      </c>
      <c r="V324" s="40">
        <f>IF(T324&lt;'Manager Sheet'!$E$11,'Manager Sheet'!$E$14,0)</f>
        <v>0</v>
      </c>
      <c r="W324" s="45">
        <f>IFERROR(VLOOKUP(V324,'Constants Sheet'!$H$11:$J$14,3,TRUE),0)</f>
        <v>0</v>
      </c>
      <c r="Y324" s="15">
        <f t="shared" si="27"/>
        <v>1464</v>
      </c>
      <c r="Z324">
        <f t="shared" si="28"/>
        <v>347</v>
      </c>
      <c r="AA324" s="16">
        <f>IF('Calculation Sheet'!$D$11,'Manager Sheet'!$E$11,NA())</f>
        <v>200</v>
      </c>
    </row>
    <row r="325" spans="15:27" x14ac:dyDescent="0.25">
      <c r="O325" s="4">
        <v>317</v>
      </c>
      <c r="P325" s="4">
        <f t="shared" si="29"/>
        <v>1464</v>
      </c>
      <c r="Q325" s="5">
        <f>'Manager Sheet'!U324</f>
        <v>362</v>
      </c>
      <c r="R325" s="5">
        <f t="shared" si="24"/>
        <v>362</v>
      </c>
      <c r="S325" s="5">
        <f t="shared" si="25"/>
        <v>0</v>
      </c>
      <c r="T325" s="5">
        <f t="shared" si="26"/>
        <v>1102</v>
      </c>
      <c r="U325" s="42">
        <f>T325*'Constants Sheet'!$E$13</f>
        <v>90.575342465753423</v>
      </c>
      <c r="V325" s="40">
        <f>IF(T325&lt;'Manager Sheet'!$E$11,'Manager Sheet'!$E$14,0)</f>
        <v>0</v>
      </c>
      <c r="W325" s="45">
        <f>IFERROR(VLOOKUP(V325,'Constants Sheet'!$H$11:$J$14,3,TRUE),0)</f>
        <v>0</v>
      </c>
      <c r="Y325" s="15">
        <f t="shared" si="27"/>
        <v>1102</v>
      </c>
      <c r="Z325">
        <f t="shared" si="28"/>
        <v>362</v>
      </c>
      <c r="AA325" s="16">
        <f>IF('Calculation Sheet'!$D$11,'Manager Sheet'!$E$11,NA())</f>
        <v>200</v>
      </c>
    </row>
    <row r="326" spans="15:27" x14ac:dyDescent="0.25">
      <c r="O326" s="4">
        <v>318</v>
      </c>
      <c r="P326" s="4">
        <f t="shared" si="29"/>
        <v>1102</v>
      </c>
      <c r="Q326" s="5">
        <f>'Manager Sheet'!U325</f>
        <v>325</v>
      </c>
      <c r="R326" s="5">
        <f t="shared" si="24"/>
        <v>325</v>
      </c>
      <c r="S326" s="5">
        <f t="shared" si="25"/>
        <v>0</v>
      </c>
      <c r="T326" s="5">
        <f t="shared" si="26"/>
        <v>777</v>
      </c>
      <c r="U326" s="42">
        <f>T326*'Constants Sheet'!$E$13</f>
        <v>63.863013698630134</v>
      </c>
      <c r="V326" s="40">
        <f>IF(T326&lt;'Manager Sheet'!$E$11,'Manager Sheet'!$E$14,0)</f>
        <v>0</v>
      </c>
      <c r="W326" s="45">
        <f>IFERROR(VLOOKUP(V326,'Constants Sheet'!$H$11:$J$14,3,TRUE),0)</f>
        <v>0</v>
      </c>
      <c r="Y326" s="15">
        <f t="shared" si="27"/>
        <v>777</v>
      </c>
      <c r="Z326">
        <f t="shared" si="28"/>
        <v>325</v>
      </c>
      <c r="AA326" s="16">
        <f>IF('Calculation Sheet'!$D$11,'Manager Sheet'!$E$11,NA())</f>
        <v>200</v>
      </c>
    </row>
    <row r="327" spans="15:27" x14ac:dyDescent="0.25">
      <c r="O327" s="4">
        <v>319</v>
      </c>
      <c r="P327" s="4">
        <f t="shared" si="29"/>
        <v>777</v>
      </c>
      <c r="Q327" s="5">
        <f>'Manager Sheet'!U326</f>
        <v>537</v>
      </c>
      <c r="R327" s="5">
        <f t="shared" si="24"/>
        <v>537</v>
      </c>
      <c r="S327" s="5">
        <f t="shared" si="25"/>
        <v>0</v>
      </c>
      <c r="T327" s="5">
        <f t="shared" si="26"/>
        <v>240</v>
      </c>
      <c r="U327" s="42">
        <f>T327*'Constants Sheet'!$E$13</f>
        <v>19.726027397260275</v>
      </c>
      <c r="V327" s="40">
        <f>IF(T327&lt;'Manager Sheet'!$E$11,'Manager Sheet'!$E$14,0)</f>
        <v>0</v>
      </c>
      <c r="W327" s="45">
        <f>IFERROR(VLOOKUP(V327,'Constants Sheet'!$H$11:$J$14,3,TRUE),0)</f>
        <v>0</v>
      </c>
      <c r="Y327" s="15">
        <f t="shared" si="27"/>
        <v>240</v>
      </c>
      <c r="Z327">
        <f t="shared" si="28"/>
        <v>537</v>
      </c>
      <c r="AA327" s="16">
        <f>IF('Calculation Sheet'!$D$11,'Manager Sheet'!$E$11,NA())</f>
        <v>200</v>
      </c>
    </row>
    <row r="328" spans="15:27" x14ac:dyDescent="0.25">
      <c r="O328" s="4">
        <v>320</v>
      </c>
      <c r="P328" s="4">
        <f t="shared" si="29"/>
        <v>240</v>
      </c>
      <c r="Q328" s="5">
        <f>'Manager Sheet'!U327</f>
        <v>469</v>
      </c>
      <c r="R328" s="5">
        <f t="shared" si="24"/>
        <v>240</v>
      </c>
      <c r="S328" s="5">
        <f t="shared" si="25"/>
        <v>229</v>
      </c>
      <c r="T328" s="5">
        <f t="shared" si="26"/>
        <v>0</v>
      </c>
      <c r="U328" s="42">
        <f>T328*'Constants Sheet'!$E$13</f>
        <v>0</v>
      </c>
      <c r="V328" s="40">
        <f>IF(T328&lt;'Manager Sheet'!$E$11,'Manager Sheet'!$E$14,0)</f>
        <v>5000</v>
      </c>
      <c r="W328" s="45">
        <f>IFERROR(VLOOKUP(V328,'Constants Sheet'!$H$11:$J$14,3,TRUE),0)</f>
        <v>175</v>
      </c>
      <c r="Y328" s="15">
        <f t="shared" si="27"/>
        <v>0</v>
      </c>
      <c r="Z328">
        <f t="shared" si="28"/>
        <v>469</v>
      </c>
      <c r="AA328" s="16">
        <f>IF('Calculation Sheet'!$D$11,'Manager Sheet'!$E$11,NA())</f>
        <v>200</v>
      </c>
    </row>
    <row r="329" spans="15:27" x14ac:dyDescent="0.25">
      <c r="O329" s="4">
        <v>321</v>
      </c>
      <c r="P329" s="4">
        <f t="shared" si="29"/>
        <v>5000</v>
      </c>
      <c r="Q329" s="5">
        <f>'Manager Sheet'!U328</f>
        <v>389</v>
      </c>
      <c r="R329" s="5">
        <f t="shared" si="24"/>
        <v>389</v>
      </c>
      <c r="S329" s="5">
        <f t="shared" si="25"/>
        <v>0</v>
      </c>
      <c r="T329" s="5">
        <f t="shared" si="26"/>
        <v>4611</v>
      </c>
      <c r="U329" s="42">
        <f>T329*'Constants Sheet'!$E$13</f>
        <v>378.98630136986299</v>
      </c>
      <c r="V329" s="40">
        <f>IF(T329&lt;'Manager Sheet'!$E$11,'Manager Sheet'!$E$14,0)</f>
        <v>0</v>
      </c>
      <c r="W329" s="45">
        <f>IFERROR(VLOOKUP(V329,'Constants Sheet'!$H$11:$J$14,3,TRUE),0)</f>
        <v>0</v>
      </c>
      <c r="Y329" s="15">
        <f t="shared" si="27"/>
        <v>4611</v>
      </c>
      <c r="Z329">
        <f t="shared" si="28"/>
        <v>389</v>
      </c>
      <c r="AA329" s="16">
        <f>IF('Calculation Sheet'!$D$11,'Manager Sheet'!$E$11,NA())</f>
        <v>200</v>
      </c>
    </row>
    <row r="330" spans="15:27" x14ac:dyDescent="0.25">
      <c r="O330" s="4">
        <v>322</v>
      </c>
      <c r="P330" s="4">
        <f t="shared" si="29"/>
        <v>4611</v>
      </c>
      <c r="Q330" s="5">
        <f>'Manager Sheet'!U329</f>
        <v>349</v>
      </c>
      <c r="R330" s="5">
        <f t="shared" ref="R330:R373" si="30">IF(P330&gt;Q330,Q330,P330)</f>
        <v>349</v>
      </c>
      <c r="S330" s="5">
        <f t="shared" ref="S330:S373" si="31">Q330-R330</f>
        <v>0</v>
      </c>
      <c r="T330" s="5">
        <f t="shared" ref="T330:T373" si="32">P330-R330</f>
        <v>4262</v>
      </c>
      <c r="U330" s="42">
        <f>T330*'Constants Sheet'!$E$13</f>
        <v>350.30136986301369</v>
      </c>
      <c r="V330" s="40">
        <f>IF(T330&lt;'Manager Sheet'!$E$11,'Manager Sheet'!$E$14,0)</f>
        <v>0</v>
      </c>
      <c r="W330" s="45">
        <f>IFERROR(VLOOKUP(V330,'Constants Sheet'!$H$11:$J$14,3,TRUE),0)</f>
        <v>0</v>
      </c>
      <c r="Y330" s="15">
        <f t="shared" ref="Y330:Y373" si="33">IF($D$10,T330,NA())</f>
        <v>4262</v>
      </c>
      <c r="Z330">
        <f t="shared" ref="Z330:Z373" si="34">IF($D$9,Q330,NA())</f>
        <v>349</v>
      </c>
      <c r="AA330" s="16">
        <f>IF('Calculation Sheet'!$D$11,'Manager Sheet'!$E$11,NA())</f>
        <v>200</v>
      </c>
    </row>
    <row r="331" spans="15:27" x14ac:dyDescent="0.25">
      <c r="O331" s="4">
        <v>323</v>
      </c>
      <c r="P331" s="4">
        <f t="shared" ref="P331:P373" si="35">T330+V330</f>
        <v>4262</v>
      </c>
      <c r="Q331" s="5">
        <f>'Manager Sheet'!U330</f>
        <v>286</v>
      </c>
      <c r="R331" s="5">
        <f t="shared" si="30"/>
        <v>286</v>
      </c>
      <c r="S331" s="5">
        <f t="shared" si="31"/>
        <v>0</v>
      </c>
      <c r="T331" s="5">
        <f t="shared" si="32"/>
        <v>3976</v>
      </c>
      <c r="U331" s="42">
        <f>T331*'Constants Sheet'!$E$13</f>
        <v>326.79452054794518</v>
      </c>
      <c r="V331" s="40">
        <f>IF(T331&lt;'Manager Sheet'!$E$11,'Manager Sheet'!$E$14,0)</f>
        <v>0</v>
      </c>
      <c r="W331" s="45">
        <f>IFERROR(VLOOKUP(V331,'Constants Sheet'!$H$11:$J$14,3,TRUE),0)</f>
        <v>0</v>
      </c>
      <c r="Y331" s="15">
        <f t="shared" si="33"/>
        <v>3976</v>
      </c>
      <c r="Z331">
        <f t="shared" si="34"/>
        <v>286</v>
      </c>
      <c r="AA331" s="16">
        <f>IF('Calculation Sheet'!$D$11,'Manager Sheet'!$E$11,NA())</f>
        <v>200</v>
      </c>
    </row>
    <row r="332" spans="15:27" x14ac:dyDescent="0.25">
      <c r="O332" s="4">
        <v>324</v>
      </c>
      <c r="P332" s="4">
        <f t="shared" si="35"/>
        <v>3976</v>
      </c>
      <c r="Q332" s="5">
        <f>'Manager Sheet'!U331</f>
        <v>544</v>
      </c>
      <c r="R332" s="5">
        <f t="shared" si="30"/>
        <v>544</v>
      </c>
      <c r="S332" s="5">
        <f t="shared" si="31"/>
        <v>0</v>
      </c>
      <c r="T332" s="5">
        <f t="shared" si="32"/>
        <v>3432</v>
      </c>
      <c r="U332" s="42">
        <f>T332*'Constants Sheet'!$E$13</f>
        <v>282.08219178082192</v>
      </c>
      <c r="V332" s="40">
        <f>IF(T332&lt;'Manager Sheet'!$E$11,'Manager Sheet'!$E$14,0)</f>
        <v>0</v>
      </c>
      <c r="W332" s="45">
        <f>IFERROR(VLOOKUP(V332,'Constants Sheet'!$H$11:$J$14,3,TRUE),0)</f>
        <v>0</v>
      </c>
      <c r="Y332" s="15">
        <f t="shared" si="33"/>
        <v>3432</v>
      </c>
      <c r="Z332">
        <f t="shared" si="34"/>
        <v>544</v>
      </c>
      <c r="AA332" s="16">
        <f>IF('Calculation Sheet'!$D$11,'Manager Sheet'!$E$11,NA())</f>
        <v>200</v>
      </c>
    </row>
    <row r="333" spans="15:27" x14ac:dyDescent="0.25">
      <c r="O333" s="4">
        <v>325</v>
      </c>
      <c r="P333" s="4">
        <f t="shared" si="35"/>
        <v>3432</v>
      </c>
      <c r="Q333" s="5">
        <f>'Manager Sheet'!U332</f>
        <v>417</v>
      </c>
      <c r="R333" s="5">
        <f t="shared" si="30"/>
        <v>417</v>
      </c>
      <c r="S333" s="5">
        <f t="shared" si="31"/>
        <v>0</v>
      </c>
      <c r="T333" s="5">
        <f t="shared" si="32"/>
        <v>3015</v>
      </c>
      <c r="U333" s="42">
        <f>T333*'Constants Sheet'!$E$13</f>
        <v>247.80821917808217</v>
      </c>
      <c r="V333" s="40">
        <f>IF(T333&lt;'Manager Sheet'!$E$11,'Manager Sheet'!$E$14,0)</f>
        <v>0</v>
      </c>
      <c r="W333" s="45">
        <f>IFERROR(VLOOKUP(V333,'Constants Sheet'!$H$11:$J$14,3,TRUE),0)</f>
        <v>0</v>
      </c>
      <c r="Y333" s="15">
        <f t="shared" si="33"/>
        <v>3015</v>
      </c>
      <c r="Z333">
        <f t="shared" si="34"/>
        <v>417</v>
      </c>
      <c r="AA333" s="16">
        <f>IF('Calculation Sheet'!$D$11,'Manager Sheet'!$E$11,NA())</f>
        <v>200</v>
      </c>
    </row>
    <row r="334" spans="15:27" x14ac:dyDescent="0.25">
      <c r="O334" s="4">
        <v>326</v>
      </c>
      <c r="P334" s="4">
        <f t="shared" si="35"/>
        <v>3015</v>
      </c>
      <c r="Q334" s="5">
        <f>'Manager Sheet'!U333</f>
        <v>378</v>
      </c>
      <c r="R334" s="5">
        <f t="shared" si="30"/>
        <v>378</v>
      </c>
      <c r="S334" s="5">
        <f t="shared" si="31"/>
        <v>0</v>
      </c>
      <c r="T334" s="5">
        <f t="shared" si="32"/>
        <v>2637</v>
      </c>
      <c r="U334" s="42">
        <f>T334*'Constants Sheet'!$E$13</f>
        <v>216.73972602739724</v>
      </c>
      <c r="V334" s="40">
        <f>IF(T334&lt;'Manager Sheet'!$E$11,'Manager Sheet'!$E$14,0)</f>
        <v>0</v>
      </c>
      <c r="W334" s="45">
        <f>IFERROR(VLOOKUP(V334,'Constants Sheet'!$H$11:$J$14,3,TRUE),0)</f>
        <v>0</v>
      </c>
      <c r="Y334" s="15">
        <f t="shared" si="33"/>
        <v>2637</v>
      </c>
      <c r="Z334">
        <f t="shared" si="34"/>
        <v>378</v>
      </c>
      <c r="AA334" s="16">
        <f>IF('Calculation Sheet'!$D$11,'Manager Sheet'!$E$11,NA())</f>
        <v>200</v>
      </c>
    </row>
    <row r="335" spans="15:27" x14ac:dyDescent="0.25">
      <c r="O335" s="4">
        <v>327</v>
      </c>
      <c r="P335" s="4">
        <f t="shared" si="35"/>
        <v>2637</v>
      </c>
      <c r="Q335" s="5">
        <f>'Manager Sheet'!U334</f>
        <v>541</v>
      </c>
      <c r="R335" s="5">
        <f t="shared" si="30"/>
        <v>541</v>
      </c>
      <c r="S335" s="5">
        <f t="shared" si="31"/>
        <v>0</v>
      </c>
      <c r="T335" s="5">
        <f t="shared" si="32"/>
        <v>2096</v>
      </c>
      <c r="U335" s="42">
        <f>T335*'Constants Sheet'!$E$13</f>
        <v>172.27397260273972</v>
      </c>
      <c r="V335" s="40">
        <f>IF(T335&lt;'Manager Sheet'!$E$11,'Manager Sheet'!$E$14,0)</f>
        <v>0</v>
      </c>
      <c r="W335" s="45">
        <f>IFERROR(VLOOKUP(V335,'Constants Sheet'!$H$11:$J$14,3,TRUE),0)</f>
        <v>0</v>
      </c>
      <c r="Y335" s="15">
        <f t="shared" si="33"/>
        <v>2096</v>
      </c>
      <c r="Z335">
        <f t="shared" si="34"/>
        <v>541</v>
      </c>
      <c r="AA335" s="16">
        <f>IF('Calculation Sheet'!$D$11,'Manager Sheet'!$E$11,NA())</f>
        <v>200</v>
      </c>
    </row>
    <row r="336" spans="15:27" x14ac:dyDescent="0.25">
      <c r="O336" s="4">
        <v>328</v>
      </c>
      <c r="P336" s="4">
        <f t="shared" si="35"/>
        <v>2096</v>
      </c>
      <c r="Q336" s="5">
        <f>'Manager Sheet'!U335</f>
        <v>638</v>
      </c>
      <c r="R336" s="5">
        <f t="shared" si="30"/>
        <v>638</v>
      </c>
      <c r="S336" s="5">
        <f t="shared" si="31"/>
        <v>0</v>
      </c>
      <c r="T336" s="5">
        <f t="shared" si="32"/>
        <v>1458</v>
      </c>
      <c r="U336" s="42">
        <f>T336*'Constants Sheet'!$E$13</f>
        <v>119.83561643835615</v>
      </c>
      <c r="V336" s="40">
        <f>IF(T336&lt;'Manager Sheet'!$E$11,'Manager Sheet'!$E$14,0)</f>
        <v>0</v>
      </c>
      <c r="W336" s="45">
        <f>IFERROR(VLOOKUP(V336,'Constants Sheet'!$H$11:$J$14,3,TRUE),0)</f>
        <v>0</v>
      </c>
      <c r="Y336" s="15">
        <f t="shared" si="33"/>
        <v>1458</v>
      </c>
      <c r="Z336">
        <f t="shared" si="34"/>
        <v>638</v>
      </c>
      <c r="AA336" s="16">
        <f>IF('Calculation Sheet'!$D$11,'Manager Sheet'!$E$11,NA())</f>
        <v>200</v>
      </c>
    </row>
    <row r="337" spans="15:27" x14ac:dyDescent="0.25">
      <c r="O337" s="4">
        <v>329</v>
      </c>
      <c r="P337" s="4">
        <f t="shared" si="35"/>
        <v>1458</v>
      </c>
      <c r="Q337" s="5">
        <f>'Manager Sheet'!U336</f>
        <v>430</v>
      </c>
      <c r="R337" s="5">
        <f t="shared" si="30"/>
        <v>430</v>
      </c>
      <c r="S337" s="5">
        <f t="shared" si="31"/>
        <v>0</v>
      </c>
      <c r="T337" s="5">
        <f t="shared" si="32"/>
        <v>1028</v>
      </c>
      <c r="U337" s="42">
        <f>T337*'Constants Sheet'!$E$13</f>
        <v>84.493150684931507</v>
      </c>
      <c r="V337" s="40">
        <f>IF(T337&lt;'Manager Sheet'!$E$11,'Manager Sheet'!$E$14,0)</f>
        <v>0</v>
      </c>
      <c r="W337" s="45">
        <f>IFERROR(VLOOKUP(V337,'Constants Sheet'!$H$11:$J$14,3,TRUE),0)</f>
        <v>0</v>
      </c>
      <c r="Y337" s="15">
        <f t="shared" si="33"/>
        <v>1028</v>
      </c>
      <c r="Z337">
        <f t="shared" si="34"/>
        <v>430</v>
      </c>
      <c r="AA337" s="16">
        <f>IF('Calculation Sheet'!$D$11,'Manager Sheet'!$E$11,NA())</f>
        <v>200</v>
      </c>
    </row>
    <row r="338" spans="15:27" x14ac:dyDescent="0.25">
      <c r="O338" s="4">
        <v>330</v>
      </c>
      <c r="P338" s="4">
        <f t="shared" si="35"/>
        <v>1028</v>
      </c>
      <c r="Q338" s="5">
        <f>'Manager Sheet'!U337</f>
        <v>705</v>
      </c>
      <c r="R338" s="5">
        <f t="shared" si="30"/>
        <v>705</v>
      </c>
      <c r="S338" s="5">
        <f t="shared" si="31"/>
        <v>0</v>
      </c>
      <c r="T338" s="5">
        <f t="shared" si="32"/>
        <v>323</v>
      </c>
      <c r="U338" s="42">
        <f>T338*'Constants Sheet'!$E$13</f>
        <v>26.547945205479451</v>
      </c>
      <c r="V338" s="40">
        <f>IF(T338&lt;'Manager Sheet'!$E$11,'Manager Sheet'!$E$14,0)</f>
        <v>0</v>
      </c>
      <c r="W338" s="45">
        <f>IFERROR(VLOOKUP(V338,'Constants Sheet'!$H$11:$J$14,3,TRUE),0)</f>
        <v>0</v>
      </c>
      <c r="Y338" s="15">
        <f t="shared" si="33"/>
        <v>323</v>
      </c>
      <c r="Z338">
        <f t="shared" si="34"/>
        <v>705</v>
      </c>
      <c r="AA338" s="16">
        <f>IF('Calculation Sheet'!$D$11,'Manager Sheet'!$E$11,NA())</f>
        <v>200</v>
      </c>
    </row>
    <row r="339" spans="15:27" x14ac:dyDescent="0.25">
      <c r="O339" s="4">
        <v>331</v>
      </c>
      <c r="P339" s="4">
        <f t="shared" si="35"/>
        <v>323</v>
      </c>
      <c r="Q339" s="5">
        <f>'Manager Sheet'!U338</f>
        <v>682</v>
      </c>
      <c r="R339" s="5">
        <f t="shared" si="30"/>
        <v>323</v>
      </c>
      <c r="S339" s="5">
        <f t="shared" si="31"/>
        <v>359</v>
      </c>
      <c r="T339" s="5">
        <f t="shared" si="32"/>
        <v>0</v>
      </c>
      <c r="U339" s="42">
        <f>T339*'Constants Sheet'!$E$13</f>
        <v>0</v>
      </c>
      <c r="V339" s="40">
        <f>IF(T339&lt;'Manager Sheet'!$E$11,'Manager Sheet'!$E$14,0)</f>
        <v>5000</v>
      </c>
      <c r="W339" s="45">
        <f>IFERROR(VLOOKUP(V339,'Constants Sheet'!$H$11:$J$14,3,TRUE),0)</f>
        <v>175</v>
      </c>
      <c r="Y339" s="15">
        <f t="shared" si="33"/>
        <v>0</v>
      </c>
      <c r="Z339">
        <f t="shared" si="34"/>
        <v>682</v>
      </c>
      <c r="AA339" s="16">
        <f>IF('Calculation Sheet'!$D$11,'Manager Sheet'!$E$11,NA())</f>
        <v>200</v>
      </c>
    </row>
    <row r="340" spans="15:27" x14ac:dyDescent="0.25">
      <c r="O340" s="4">
        <v>332</v>
      </c>
      <c r="P340" s="4">
        <f t="shared" si="35"/>
        <v>5000</v>
      </c>
      <c r="Q340" s="5">
        <f>'Manager Sheet'!U339</f>
        <v>579</v>
      </c>
      <c r="R340" s="5">
        <f t="shared" si="30"/>
        <v>579</v>
      </c>
      <c r="S340" s="5">
        <f t="shared" si="31"/>
        <v>0</v>
      </c>
      <c r="T340" s="5">
        <f t="shared" si="32"/>
        <v>4421</v>
      </c>
      <c r="U340" s="42">
        <f>T340*'Constants Sheet'!$E$13</f>
        <v>363.36986301369859</v>
      </c>
      <c r="V340" s="40">
        <f>IF(T340&lt;'Manager Sheet'!$E$11,'Manager Sheet'!$E$14,0)</f>
        <v>0</v>
      </c>
      <c r="W340" s="45">
        <f>IFERROR(VLOOKUP(V340,'Constants Sheet'!$H$11:$J$14,3,TRUE),0)</f>
        <v>0</v>
      </c>
      <c r="Y340" s="15">
        <f t="shared" si="33"/>
        <v>4421</v>
      </c>
      <c r="Z340">
        <f t="shared" si="34"/>
        <v>579</v>
      </c>
      <c r="AA340" s="16">
        <f>IF('Calculation Sheet'!$D$11,'Manager Sheet'!$E$11,NA())</f>
        <v>200</v>
      </c>
    </row>
    <row r="341" spans="15:27" x14ac:dyDescent="0.25">
      <c r="O341" s="4">
        <v>333</v>
      </c>
      <c r="P341" s="4">
        <f t="shared" si="35"/>
        <v>4421</v>
      </c>
      <c r="Q341" s="5">
        <f>'Manager Sheet'!U340</f>
        <v>717</v>
      </c>
      <c r="R341" s="5">
        <f t="shared" si="30"/>
        <v>717</v>
      </c>
      <c r="S341" s="5">
        <f t="shared" si="31"/>
        <v>0</v>
      </c>
      <c r="T341" s="5">
        <f t="shared" si="32"/>
        <v>3704</v>
      </c>
      <c r="U341" s="42">
        <f>T341*'Constants Sheet'!$E$13</f>
        <v>304.43835616438355</v>
      </c>
      <c r="V341" s="40">
        <f>IF(T341&lt;'Manager Sheet'!$E$11,'Manager Sheet'!$E$14,0)</f>
        <v>0</v>
      </c>
      <c r="W341" s="45">
        <f>IFERROR(VLOOKUP(V341,'Constants Sheet'!$H$11:$J$14,3,TRUE),0)</f>
        <v>0</v>
      </c>
      <c r="Y341" s="15">
        <f t="shared" si="33"/>
        <v>3704</v>
      </c>
      <c r="Z341">
        <f t="shared" si="34"/>
        <v>717</v>
      </c>
      <c r="AA341" s="16">
        <f>IF('Calculation Sheet'!$D$11,'Manager Sheet'!$E$11,NA())</f>
        <v>200</v>
      </c>
    </row>
    <row r="342" spans="15:27" x14ac:dyDescent="0.25">
      <c r="O342" s="4">
        <v>334</v>
      </c>
      <c r="P342" s="4">
        <f t="shared" si="35"/>
        <v>3704</v>
      </c>
      <c r="Q342" s="5">
        <f>'Manager Sheet'!U341</f>
        <v>626</v>
      </c>
      <c r="R342" s="5">
        <f t="shared" si="30"/>
        <v>626</v>
      </c>
      <c r="S342" s="5">
        <f t="shared" si="31"/>
        <v>0</v>
      </c>
      <c r="T342" s="5">
        <f t="shared" si="32"/>
        <v>3078</v>
      </c>
      <c r="U342" s="42">
        <f>T342*'Constants Sheet'!$E$13</f>
        <v>252.98630136986299</v>
      </c>
      <c r="V342" s="40">
        <f>IF(T342&lt;'Manager Sheet'!$E$11,'Manager Sheet'!$E$14,0)</f>
        <v>0</v>
      </c>
      <c r="W342" s="45">
        <f>IFERROR(VLOOKUP(V342,'Constants Sheet'!$H$11:$J$14,3,TRUE),0)</f>
        <v>0</v>
      </c>
      <c r="Y342" s="15">
        <f t="shared" si="33"/>
        <v>3078</v>
      </c>
      <c r="Z342">
        <f t="shared" si="34"/>
        <v>626</v>
      </c>
      <c r="AA342" s="16">
        <f>IF('Calculation Sheet'!$D$11,'Manager Sheet'!$E$11,NA())</f>
        <v>200</v>
      </c>
    </row>
    <row r="343" spans="15:27" x14ac:dyDescent="0.25">
      <c r="O343" s="4">
        <v>335</v>
      </c>
      <c r="P343" s="4">
        <f t="shared" si="35"/>
        <v>3078</v>
      </c>
      <c r="Q343" s="5">
        <f>'Manager Sheet'!U342</f>
        <v>385</v>
      </c>
      <c r="R343" s="5">
        <f t="shared" si="30"/>
        <v>385</v>
      </c>
      <c r="S343" s="5">
        <f t="shared" si="31"/>
        <v>0</v>
      </c>
      <c r="T343" s="5">
        <f t="shared" si="32"/>
        <v>2693</v>
      </c>
      <c r="U343" s="42">
        <f>T343*'Constants Sheet'!$E$13</f>
        <v>221.34246575342465</v>
      </c>
      <c r="V343" s="40">
        <f>IF(T343&lt;'Manager Sheet'!$E$11,'Manager Sheet'!$E$14,0)</f>
        <v>0</v>
      </c>
      <c r="W343" s="45">
        <f>IFERROR(VLOOKUP(V343,'Constants Sheet'!$H$11:$J$14,3,TRUE),0)</f>
        <v>0</v>
      </c>
      <c r="Y343" s="15">
        <f t="shared" si="33"/>
        <v>2693</v>
      </c>
      <c r="Z343">
        <f t="shared" si="34"/>
        <v>385</v>
      </c>
      <c r="AA343" s="16">
        <f>IF('Calculation Sheet'!$D$11,'Manager Sheet'!$E$11,NA())</f>
        <v>200</v>
      </c>
    </row>
    <row r="344" spans="15:27" x14ac:dyDescent="0.25">
      <c r="O344" s="4">
        <v>336</v>
      </c>
      <c r="P344" s="4">
        <f t="shared" si="35"/>
        <v>2693</v>
      </c>
      <c r="Q344" s="5">
        <f>'Manager Sheet'!U343</f>
        <v>394</v>
      </c>
      <c r="R344" s="5">
        <f t="shared" si="30"/>
        <v>394</v>
      </c>
      <c r="S344" s="5">
        <f t="shared" si="31"/>
        <v>0</v>
      </c>
      <c r="T344" s="5">
        <f t="shared" si="32"/>
        <v>2299</v>
      </c>
      <c r="U344" s="42">
        <f>T344*'Constants Sheet'!$E$13</f>
        <v>188.95890410958904</v>
      </c>
      <c r="V344" s="40">
        <f>IF(T344&lt;'Manager Sheet'!$E$11,'Manager Sheet'!$E$14,0)</f>
        <v>0</v>
      </c>
      <c r="W344" s="45">
        <f>IFERROR(VLOOKUP(V344,'Constants Sheet'!$H$11:$J$14,3,TRUE),0)</f>
        <v>0</v>
      </c>
      <c r="Y344" s="15">
        <f t="shared" si="33"/>
        <v>2299</v>
      </c>
      <c r="Z344">
        <f t="shared" si="34"/>
        <v>394</v>
      </c>
      <c r="AA344" s="16">
        <f>IF('Calculation Sheet'!$D$11,'Manager Sheet'!$E$11,NA())</f>
        <v>200</v>
      </c>
    </row>
    <row r="345" spans="15:27" x14ac:dyDescent="0.25">
      <c r="O345" s="4">
        <v>337</v>
      </c>
      <c r="P345" s="4">
        <f t="shared" si="35"/>
        <v>2299</v>
      </c>
      <c r="Q345" s="5">
        <f>'Manager Sheet'!U344</f>
        <v>642</v>
      </c>
      <c r="R345" s="5">
        <f t="shared" si="30"/>
        <v>642</v>
      </c>
      <c r="S345" s="5">
        <f t="shared" si="31"/>
        <v>0</v>
      </c>
      <c r="T345" s="5">
        <f t="shared" si="32"/>
        <v>1657</v>
      </c>
      <c r="U345" s="42">
        <f>T345*'Constants Sheet'!$E$13</f>
        <v>136.1917808219178</v>
      </c>
      <c r="V345" s="40">
        <f>IF(T345&lt;'Manager Sheet'!$E$11,'Manager Sheet'!$E$14,0)</f>
        <v>0</v>
      </c>
      <c r="W345" s="45">
        <f>IFERROR(VLOOKUP(V345,'Constants Sheet'!$H$11:$J$14,3,TRUE),0)</f>
        <v>0</v>
      </c>
      <c r="Y345" s="15">
        <f t="shared" si="33"/>
        <v>1657</v>
      </c>
      <c r="Z345">
        <f t="shared" si="34"/>
        <v>642</v>
      </c>
      <c r="AA345" s="16">
        <f>IF('Calculation Sheet'!$D$11,'Manager Sheet'!$E$11,NA())</f>
        <v>200</v>
      </c>
    </row>
    <row r="346" spans="15:27" x14ac:dyDescent="0.25">
      <c r="O346" s="4">
        <v>338</v>
      </c>
      <c r="P346" s="4">
        <f t="shared" si="35"/>
        <v>1657</v>
      </c>
      <c r="Q346" s="5">
        <f>'Manager Sheet'!U345</f>
        <v>750</v>
      </c>
      <c r="R346" s="5">
        <f t="shared" si="30"/>
        <v>750</v>
      </c>
      <c r="S346" s="5">
        <f t="shared" si="31"/>
        <v>0</v>
      </c>
      <c r="T346" s="5">
        <f t="shared" si="32"/>
        <v>907</v>
      </c>
      <c r="U346" s="42">
        <f>T346*'Constants Sheet'!$E$13</f>
        <v>74.547945205479451</v>
      </c>
      <c r="V346" s="40">
        <f>IF(T346&lt;'Manager Sheet'!$E$11,'Manager Sheet'!$E$14,0)</f>
        <v>0</v>
      </c>
      <c r="W346" s="45">
        <f>IFERROR(VLOOKUP(V346,'Constants Sheet'!$H$11:$J$14,3,TRUE),0)</f>
        <v>0</v>
      </c>
      <c r="Y346" s="15">
        <f t="shared" si="33"/>
        <v>907</v>
      </c>
      <c r="Z346">
        <f t="shared" si="34"/>
        <v>750</v>
      </c>
      <c r="AA346" s="16">
        <f>IF('Calculation Sheet'!$D$11,'Manager Sheet'!$E$11,NA())</f>
        <v>200</v>
      </c>
    </row>
    <row r="347" spans="15:27" x14ac:dyDescent="0.25">
      <c r="O347" s="4">
        <v>339</v>
      </c>
      <c r="P347" s="4">
        <f t="shared" si="35"/>
        <v>907</v>
      </c>
      <c r="Q347" s="5">
        <f>'Manager Sheet'!U346</f>
        <v>605</v>
      </c>
      <c r="R347" s="5">
        <f t="shared" si="30"/>
        <v>605</v>
      </c>
      <c r="S347" s="5">
        <f t="shared" si="31"/>
        <v>0</v>
      </c>
      <c r="T347" s="5">
        <f t="shared" si="32"/>
        <v>302</v>
      </c>
      <c r="U347" s="42">
        <f>T347*'Constants Sheet'!$E$13</f>
        <v>24.821917808219176</v>
      </c>
      <c r="V347" s="40">
        <f>IF(T347&lt;'Manager Sheet'!$E$11,'Manager Sheet'!$E$14,0)</f>
        <v>0</v>
      </c>
      <c r="W347" s="45">
        <f>IFERROR(VLOOKUP(V347,'Constants Sheet'!$H$11:$J$14,3,TRUE),0)</f>
        <v>0</v>
      </c>
      <c r="Y347" s="15">
        <f t="shared" si="33"/>
        <v>302</v>
      </c>
      <c r="Z347">
        <f t="shared" si="34"/>
        <v>605</v>
      </c>
      <c r="AA347" s="16">
        <f>IF('Calculation Sheet'!$D$11,'Manager Sheet'!$E$11,NA())</f>
        <v>200</v>
      </c>
    </row>
    <row r="348" spans="15:27" x14ac:dyDescent="0.25">
      <c r="O348" s="4">
        <v>340</v>
      </c>
      <c r="P348" s="4">
        <f t="shared" si="35"/>
        <v>302</v>
      </c>
      <c r="Q348" s="5">
        <f>'Manager Sheet'!U347</f>
        <v>564</v>
      </c>
      <c r="R348" s="5">
        <f t="shared" si="30"/>
        <v>302</v>
      </c>
      <c r="S348" s="5">
        <f t="shared" si="31"/>
        <v>262</v>
      </c>
      <c r="T348" s="5">
        <f t="shared" si="32"/>
        <v>0</v>
      </c>
      <c r="U348" s="42">
        <f>T348*'Constants Sheet'!$E$13</f>
        <v>0</v>
      </c>
      <c r="V348" s="40">
        <f>IF(T348&lt;'Manager Sheet'!$E$11,'Manager Sheet'!$E$14,0)</f>
        <v>5000</v>
      </c>
      <c r="W348" s="45">
        <f>IFERROR(VLOOKUP(V348,'Constants Sheet'!$H$11:$J$14,3,TRUE),0)</f>
        <v>175</v>
      </c>
      <c r="Y348" s="15">
        <f t="shared" si="33"/>
        <v>0</v>
      </c>
      <c r="Z348">
        <f t="shared" si="34"/>
        <v>564</v>
      </c>
      <c r="AA348" s="16">
        <f>IF('Calculation Sheet'!$D$11,'Manager Sheet'!$E$11,NA())</f>
        <v>200</v>
      </c>
    </row>
    <row r="349" spans="15:27" x14ac:dyDescent="0.25">
      <c r="O349" s="4">
        <v>341</v>
      </c>
      <c r="P349" s="4">
        <f t="shared" si="35"/>
        <v>5000</v>
      </c>
      <c r="Q349" s="5">
        <f>'Manager Sheet'!U348</f>
        <v>672</v>
      </c>
      <c r="R349" s="5">
        <f t="shared" si="30"/>
        <v>672</v>
      </c>
      <c r="S349" s="5">
        <f t="shared" si="31"/>
        <v>0</v>
      </c>
      <c r="T349" s="5">
        <f t="shared" si="32"/>
        <v>4328</v>
      </c>
      <c r="U349" s="42">
        <f>T349*'Constants Sheet'!$E$13</f>
        <v>355.72602739726028</v>
      </c>
      <c r="V349" s="40">
        <f>IF(T349&lt;'Manager Sheet'!$E$11,'Manager Sheet'!$E$14,0)</f>
        <v>0</v>
      </c>
      <c r="W349" s="45">
        <f>IFERROR(VLOOKUP(V349,'Constants Sheet'!$H$11:$J$14,3,TRUE),0)</f>
        <v>0</v>
      </c>
      <c r="Y349" s="15">
        <f t="shared" si="33"/>
        <v>4328</v>
      </c>
      <c r="Z349">
        <f t="shared" si="34"/>
        <v>672</v>
      </c>
      <c r="AA349" s="16">
        <f>IF('Calculation Sheet'!$D$11,'Manager Sheet'!$E$11,NA())</f>
        <v>200</v>
      </c>
    </row>
    <row r="350" spans="15:27" x14ac:dyDescent="0.25">
      <c r="O350" s="4">
        <v>342</v>
      </c>
      <c r="P350" s="4">
        <f t="shared" si="35"/>
        <v>4328</v>
      </c>
      <c r="Q350" s="5">
        <f>'Manager Sheet'!U349</f>
        <v>759</v>
      </c>
      <c r="R350" s="5">
        <f t="shared" si="30"/>
        <v>759</v>
      </c>
      <c r="S350" s="5">
        <f t="shared" si="31"/>
        <v>0</v>
      </c>
      <c r="T350" s="5">
        <f t="shared" si="32"/>
        <v>3569</v>
      </c>
      <c r="U350" s="42">
        <f>T350*'Constants Sheet'!$E$13</f>
        <v>293.34246575342462</v>
      </c>
      <c r="V350" s="40">
        <f>IF(T350&lt;'Manager Sheet'!$E$11,'Manager Sheet'!$E$14,0)</f>
        <v>0</v>
      </c>
      <c r="W350" s="45">
        <f>IFERROR(VLOOKUP(V350,'Constants Sheet'!$H$11:$J$14,3,TRUE),0)</f>
        <v>0</v>
      </c>
      <c r="Y350" s="15">
        <f t="shared" si="33"/>
        <v>3569</v>
      </c>
      <c r="Z350">
        <f t="shared" si="34"/>
        <v>759</v>
      </c>
      <c r="AA350" s="16">
        <f>IF('Calculation Sheet'!$D$11,'Manager Sheet'!$E$11,NA())</f>
        <v>200</v>
      </c>
    </row>
    <row r="351" spans="15:27" x14ac:dyDescent="0.25">
      <c r="O351" s="4">
        <v>343</v>
      </c>
      <c r="P351" s="4">
        <f t="shared" si="35"/>
        <v>3569</v>
      </c>
      <c r="Q351" s="5">
        <f>'Manager Sheet'!U350</f>
        <v>507</v>
      </c>
      <c r="R351" s="5">
        <f t="shared" si="30"/>
        <v>507</v>
      </c>
      <c r="S351" s="5">
        <f t="shared" si="31"/>
        <v>0</v>
      </c>
      <c r="T351" s="5">
        <f t="shared" si="32"/>
        <v>3062</v>
      </c>
      <c r="U351" s="42">
        <f>T351*'Constants Sheet'!$E$13</f>
        <v>251.67123287671231</v>
      </c>
      <c r="V351" s="40">
        <f>IF(T351&lt;'Manager Sheet'!$E$11,'Manager Sheet'!$E$14,0)</f>
        <v>0</v>
      </c>
      <c r="W351" s="45">
        <f>IFERROR(VLOOKUP(V351,'Constants Sheet'!$H$11:$J$14,3,TRUE),0)</f>
        <v>0</v>
      </c>
      <c r="Y351" s="15">
        <f t="shared" si="33"/>
        <v>3062</v>
      </c>
      <c r="Z351">
        <f t="shared" si="34"/>
        <v>507</v>
      </c>
      <c r="AA351" s="16">
        <f>IF('Calculation Sheet'!$D$11,'Manager Sheet'!$E$11,NA())</f>
        <v>200</v>
      </c>
    </row>
    <row r="352" spans="15:27" x14ac:dyDescent="0.25">
      <c r="O352" s="4">
        <v>344</v>
      </c>
      <c r="P352" s="4">
        <f t="shared" si="35"/>
        <v>3062</v>
      </c>
      <c r="Q352" s="5">
        <f>'Manager Sheet'!U351</f>
        <v>468</v>
      </c>
      <c r="R352" s="5">
        <f t="shared" si="30"/>
        <v>468</v>
      </c>
      <c r="S352" s="5">
        <f t="shared" si="31"/>
        <v>0</v>
      </c>
      <c r="T352" s="5">
        <f t="shared" si="32"/>
        <v>2594</v>
      </c>
      <c r="U352" s="42">
        <f>T352*'Constants Sheet'!$E$13</f>
        <v>213.20547945205479</v>
      </c>
      <c r="V352" s="40">
        <f>IF(T352&lt;'Manager Sheet'!$E$11,'Manager Sheet'!$E$14,0)</f>
        <v>0</v>
      </c>
      <c r="W352" s="45">
        <f>IFERROR(VLOOKUP(V352,'Constants Sheet'!$H$11:$J$14,3,TRUE),0)</f>
        <v>0</v>
      </c>
      <c r="Y352" s="15">
        <f t="shared" si="33"/>
        <v>2594</v>
      </c>
      <c r="Z352">
        <f t="shared" si="34"/>
        <v>468</v>
      </c>
      <c r="AA352" s="16">
        <f>IF('Calculation Sheet'!$D$11,'Manager Sheet'!$E$11,NA())</f>
        <v>200</v>
      </c>
    </row>
    <row r="353" spans="15:27" x14ac:dyDescent="0.25">
      <c r="O353" s="4">
        <v>345</v>
      </c>
      <c r="P353" s="4">
        <f t="shared" si="35"/>
        <v>2594</v>
      </c>
      <c r="Q353" s="5">
        <f>'Manager Sheet'!U352</f>
        <v>349</v>
      </c>
      <c r="R353" s="5">
        <f t="shared" si="30"/>
        <v>349</v>
      </c>
      <c r="S353" s="5">
        <f t="shared" si="31"/>
        <v>0</v>
      </c>
      <c r="T353" s="5">
        <f t="shared" si="32"/>
        <v>2245</v>
      </c>
      <c r="U353" s="42">
        <f>T353*'Constants Sheet'!$E$13</f>
        <v>184.52054794520546</v>
      </c>
      <c r="V353" s="40">
        <f>IF(T353&lt;'Manager Sheet'!$E$11,'Manager Sheet'!$E$14,0)</f>
        <v>0</v>
      </c>
      <c r="W353" s="45">
        <f>IFERROR(VLOOKUP(V353,'Constants Sheet'!$H$11:$J$14,3,TRUE),0)</f>
        <v>0</v>
      </c>
      <c r="Y353" s="15">
        <f t="shared" si="33"/>
        <v>2245</v>
      </c>
      <c r="Z353">
        <f t="shared" si="34"/>
        <v>349</v>
      </c>
      <c r="AA353" s="16">
        <f>IF('Calculation Sheet'!$D$11,'Manager Sheet'!$E$11,NA())</f>
        <v>200</v>
      </c>
    </row>
    <row r="354" spans="15:27" x14ac:dyDescent="0.25">
      <c r="O354" s="4">
        <v>346</v>
      </c>
      <c r="P354" s="4">
        <f t="shared" si="35"/>
        <v>2245</v>
      </c>
      <c r="Q354" s="5">
        <f>'Manager Sheet'!U353</f>
        <v>624</v>
      </c>
      <c r="R354" s="5">
        <f t="shared" si="30"/>
        <v>624</v>
      </c>
      <c r="S354" s="5">
        <f t="shared" si="31"/>
        <v>0</v>
      </c>
      <c r="T354" s="5">
        <f t="shared" si="32"/>
        <v>1621</v>
      </c>
      <c r="U354" s="42">
        <f>T354*'Constants Sheet'!$E$13</f>
        <v>133.23287671232876</v>
      </c>
      <c r="V354" s="40">
        <f>IF(T354&lt;'Manager Sheet'!$E$11,'Manager Sheet'!$E$14,0)</f>
        <v>0</v>
      </c>
      <c r="W354" s="45">
        <f>IFERROR(VLOOKUP(V354,'Constants Sheet'!$H$11:$J$14,3,TRUE),0)</f>
        <v>0</v>
      </c>
      <c r="Y354" s="15">
        <f t="shared" si="33"/>
        <v>1621</v>
      </c>
      <c r="Z354">
        <f t="shared" si="34"/>
        <v>624</v>
      </c>
      <c r="AA354" s="16">
        <f>IF('Calculation Sheet'!$D$11,'Manager Sheet'!$E$11,NA())</f>
        <v>200</v>
      </c>
    </row>
    <row r="355" spans="15:27" x14ac:dyDescent="0.25">
      <c r="O355" s="4">
        <v>347</v>
      </c>
      <c r="P355" s="4">
        <f t="shared" si="35"/>
        <v>1621</v>
      </c>
      <c r="Q355" s="5">
        <f>'Manager Sheet'!U354</f>
        <v>468</v>
      </c>
      <c r="R355" s="5">
        <f t="shared" si="30"/>
        <v>468</v>
      </c>
      <c r="S355" s="5">
        <f t="shared" si="31"/>
        <v>0</v>
      </c>
      <c r="T355" s="5">
        <f t="shared" si="32"/>
        <v>1153</v>
      </c>
      <c r="U355" s="42">
        <f>T355*'Constants Sheet'!$E$13</f>
        <v>94.767123287671225</v>
      </c>
      <c r="V355" s="40">
        <f>IF(T355&lt;'Manager Sheet'!$E$11,'Manager Sheet'!$E$14,0)</f>
        <v>0</v>
      </c>
      <c r="W355" s="45">
        <f>IFERROR(VLOOKUP(V355,'Constants Sheet'!$H$11:$J$14,3,TRUE),0)</f>
        <v>0</v>
      </c>
      <c r="Y355" s="15">
        <f t="shared" si="33"/>
        <v>1153</v>
      </c>
      <c r="Z355">
        <f t="shared" si="34"/>
        <v>468</v>
      </c>
      <c r="AA355" s="16">
        <f>IF('Calculation Sheet'!$D$11,'Manager Sheet'!$E$11,NA())</f>
        <v>200</v>
      </c>
    </row>
    <row r="356" spans="15:27" x14ac:dyDescent="0.25">
      <c r="O356" s="4">
        <v>348</v>
      </c>
      <c r="P356" s="4">
        <f t="shared" si="35"/>
        <v>1153</v>
      </c>
      <c r="Q356" s="5">
        <f>'Manager Sheet'!U355</f>
        <v>358</v>
      </c>
      <c r="R356" s="5">
        <f t="shared" si="30"/>
        <v>358</v>
      </c>
      <c r="S356" s="5">
        <f t="shared" si="31"/>
        <v>0</v>
      </c>
      <c r="T356" s="5">
        <f t="shared" si="32"/>
        <v>795</v>
      </c>
      <c r="U356" s="42">
        <f>T356*'Constants Sheet'!$E$13</f>
        <v>65.342465753424648</v>
      </c>
      <c r="V356" s="40">
        <f>IF(T356&lt;'Manager Sheet'!$E$11,'Manager Sheet'!$E$14,0)</f>
        <v>0</v>
      </c>
      <c r="W356" s="45">
        <f>IFERROR(VLOOKUP(V356,'Constants Sheet'!$H$11:$J$14,3,TRUE),0)</f>
        <v>0</v>
      </c>
      <c r="Y356" s="15">
        <f t="shared" si="33"/>
        <v>795</v>
      </c>
      <c r="Z356">
        <f t="shared" si="34"/>
        <v>358</v>
      </c>
      <c r="AA356" s="16">
        <f>IF('Calculation Sheet'!$D$11,'Manager Sheet'!$E$11,NA())</f>
        <v>200</v>
      </c>
    </row>
    <row r="357" spans="15:27" x14ac:dyDescent="0.25">
      <c r="O357" s="4">
        <v>349</v>
      </c>
      <c r="P357" s="4">
        <f t="shared" si="35"/>
        <v>795</v>
      </c>
      <c r="Q357" s="5">
        <f>'Manager Sheet'!U356</f>
        <v>605</v>
      </c>
      <c r="R357" s="5">
        <f t="shared" si="30"/>
        <v>605</v>
      </c>
      <c r="S357" s="5">
        <f t="shared" si="31"/>
        <v>0</v>
      </c>
      <c r="T357" s="5">
        <f t="shared" si="32"/>
        <v>190</v>
      </c>
      <c r="U357" s="42">
        <f>T357*'Constants Sheet'!$E$13</f>
        <v>15.616438356164382</v>
      </c>
      <c r="V357" s="40">
        <f>IF(T357&lt;'Manager Sheet'!$E$11,'Manager Sheet'!$E$14,0)</f>
        <v>5000</v>
      </c>
      <c r="W357" s="45">
        <f>IFERROR(VLOOKUP(V357,'Constants Sheet'!$H$11:$J$14,3,TRUE),0)</f>
        <v>175</v>
      </c>
      <c r="Y357" s="15">
        <f t="shared" si="33"/>
        <v>190</v>
      </c>
      <c r="Z357">
        <f t="shared" si="34"/>
        <v>605</v>
      </c>
      <c r="AA357" s="16">
        <f>IF('Calculation Sheet'!$D$11,'Manager Sheet'!$E$11,NA())</f>
        <v>200</v>
      </c>
    </row>
    <row r="358" spans="15:27" x14ac:dyDescent="0.25">
      <c r="O358" s="4">
        <v>350</v>
      </c>
      <c r="P358" s="4">
        <f t="shared" si="35"/>
        <v>5190</v>
      </c>
      <c r="Q358" s="5">
        <f>'Manager Sheet'!U357</f>
        <v>254</v>
      </c>
      <c r="R358" s="5">
        <f t="shared" si="30"/>
        <v>254</v>
      </c>
      <c r="S358" s="5">
        <f t="shared" si="31"/>
        <v>0</v>
      </c>
      <c r="T358" s="5">
        <f t="shared" si="32"/>
        <v>4936</v>
      </c>
      <c r="U358" s="42">
        <f>T358*'Constants Sheet'!$E$13</f>
        <v>405.69863013698625</v>
      </c>
      <c r="V358" s="40">
        <f>IF(T358&lt;'Manager Sheet'!$E$11,'Manager Sheet'!$E$14,0)</f>
        <v>0</v>
      </c>
      <c r="W358" s="45">
        <f>IFERROR(VLOOKUP(V358,'Constants Sheet'!$H$11:$J$14,3,TRUE),0)</f>
        <v>0</v>
      </c>
      <c r="Y358" s="15">
        <f t="shared" si="33"/>
        <v>4936</v>
      </c>
      <c r="Z358">
        <f t="shared" si="34"/>
        <v>254</v>
      </c>
      <c r="AA358" s="16">
        <f>IF('Calculation Sheet'!$D$11,'Manager Sheet'!$E$11,NA())</f>
        <v>200</v>
      </c>
    </row>
    <row r="359" spans="15:27" x14ac:dyDescent="0.25">
      <c r="O359" s="4">
        <v>351</v>
      </c>
      <c r="P359" s="4">
        <f t="shared" si="35"/>
        <v>4936</v>
      </c>
      <c r="Q359" s="5">
        <f>'Manager Sheet'!U358</f>
        <v>482</v>
      </c>
      <c r="R359" s="5">
        <f t="shared" si="30"/>
        <v>482</v>
      </c>
      <c r="S359" s="5">
        <f t="shared" si="31"/>
        <v>0</v>
      </c>
      <c r="T359" s="5">
        <f t="shared" si="32"/>
        <v>4454</v>
      </c>
      <c r="U359" s="42">
        <f>T359*'Constants Sheet'!$E$13</f>
        <v>366.08219178082192</v>
      </c>
      <c r="V359" s="40">
        <f>IF(T359&lt;'Manager Sheet'!$E$11,'Manager Sheet'!$E$14,0)</f>
        <v>0</v>
      </c>
      <c r="W359" s="45">
        <f>IFERROR(VLOOKUP(V359,'Constants Sheet'!$H$11:$J$14,3,TRUE),0)</f>
        <v>0</v>
      </c>
      <c r="Y359" s="15">
        <f t="shared" si="33"/>
        <v>4454</v>
      </c>
      <c r="Z359">
        <f t="shared" si="34"/>
        <v>482</v>
      </c>
      <c r="AA359" s="16">
        <f>IF('Calculation Sheet'!$D$11,'Manager Sheet'!$E$11,NA())</f>
        <v>200</v>
      </c>
    </row>
    <row r="360" spans="15:27" x14ac:dyDescent="0.25">
      <c r="O360" s="4">
        <v>352</v>
      </c>
      <c r="P360" s="4">
        <f t="shared" si="35"/>
        <v>4454</v>
      </c>
      <c r="Q360" s="5">
        <f>'Manager Sheet'!U359</f>
        <v>284</v>
      </c>
      <c r="R360" s="5">
        <f t="shared" si="30"/>
        <v>284</v>
      </c>
      <c r="S360" s="5">
        <f t="shared" si="31"/>
        <v>0</v>
      </c>
      <c r="T360" s="5">
        <f t="shared" si="32"/>
        <v>4170</v>
      </c>
      <c r="U360" s="42">
        <f>T360*'Constants Sheet'!$E$13</f>
        <v>342.73972602739724</v>
      </c>
      <c r="V360" s="40">
        <f>IF(T360&lt;'Manager Sheet'!$E$11,'Manager Sheet'!$E$14,0)</f>
        <v>0</v>
      </c>
      <c r="W360" s="45">
        <f>IFERROR(VLOOKUP(V360,'Constants Sheet'!$H$11:$J$14,3,TRUE),0)</f>
        <v>0</v>
      </c>
      <c r="Y360" s="15">
        <f t="shared" si="33"/>
        <v>4170</v>
      </c>
      <c r="Z360">
        <f t="shared" si="34"/>
        <v>284</v>
      </c>
      <c r="AA360" s="16">
        <f>IF('Calculation Sheet'!$D$11,'Manager Sheet'!$E$11,NA())</f>
        <v>200</v>
      </c>
    </row>
    <row r="361" spans="15:27" x14ac:dyDescent="0.25">
      <c r="O361" s="4">
        <v>353</v>
      </c>
      <c r="P361" s="4">
        <f t="shared" si="35"/>
        <v>4170</v>
      </c>
      <c r="Q361" s="5">
        <f>'Manager Sheet'!U360</f>
        <v>413</v>
      </c>
      <c r="R361" s="5">
        <f t="shared" si="30"/>
        <v>413</v>
      </c>
      <c r="S361" s="5">
        <f t="shared" si="31"/>
        <v>0</v>
      </c>
      <c r="T361" s="5">
        <f t="shared" si="32"/>
        <v>3757</v>
      </c>
      <c r="U361" s="42">
        <f>T361*'Constants Sheet'!$E$13</f>
        <v>308.79452054794518</v>
      </c>
      <c r="V361" s="40">
        <f>IF(T361&lt;'Manager Sheet'!$E$11,'Manager Sheet'!$E$14,0)</f>
        <v>0</v>
      </c>
      <c r="W361" s="45">
        <f>IFERROR(VLOOKUP(V361,'Constants Sheet'!$H$11:$J$14,3,TRUE),0)</f>
        <v>0</v>
      </c>
      <c r="Y361" s="15">
        <f t="shared" si="33"/>
        <v>3757</v>
      </c>
      <c r="Z361">
        <f t="shared" si="34"/>
        <v>413</v>
      </c>
      <c r="AA361" s="16">
        <f>IF('Calculation Sheet'!$D$11,'Manager Sheet'!$E$11,NA())</f>
        <v>200</v>
      </c>
    </row>
    <row r="362" spans="15:27" x14ac:dyDescent="0.25">
      <c r="O362" s="4">
        <v>354</v>
      </c>
      <c r="P362" s="4">
        <f t="shared" si="35"/>
        <v>3757</v>
      </c>
      <c r="Q362" s="5">
        <f>'Manager Sheet'!U361</f>
        <v>507</v>
      </c>
      <c r="R362" s="5">
        <f t="shared" si="30"/>
        <v>507</v>
      </c>
      <c r="S362" s="5">
        <f t="shared" si="31"/>
        <v>0</v>
      </c>
      <c r="T362" s="5">
        <f t="shared" si="32"/>
        <v>3250</v>
      </c>
      <c r="U362" s="42">
        <f>T362*'Constants Sheet'!$E$13</f>
        <v>267.12328767123284</v>
      </c>
      <c r="V362" s="40">
        <f>IF(T362&lt;'Manager Sheet'!$E$11,'Manager Sheet'!$E$14,0)</f>
        <v>0</v>
      </c>
      <c r="W362" s="45">
        <f>IFERROR(VLOOKUP(V362,'Constants Sheet'!$H$11:$J$14,3,TRUE),0)</f>
        <v>0</v>
      </c>
      <c r="Y362" s="15">
        <f t="shared" si="33"/>
        <v>3250</v>
      </c>
      <c r="Z362">
        <f t="shared" si="34"/>
        <v>507</v>
      </c>
      <c r="AA362" s="16">
        <f>IF('Calculation Sheet'!$D$11,'Manager Sheet'!$E$11,NA())</f>
        <v>200</v>
      </c>
    </row>
    <row r="363" spans="15:27" x14ac:dyDescent="0.25">
      <c r="O363" s="4">
        <v>355</v>
      </c>
      <c r="P363" s="4">
        <f t="shared" si="35"/>
        <v>3250</v>
      </c>
      <c r="Q363" s="5">
        <f>'Manager Sheet'!U362</f>
        <v>590</v>
      </c>
      <c r="R363" s="5">
        <f t="shared" si="30"/>
        <v>590</v>
      </c>
      <c r="S363" s="5">
        <f t="shared" si="31"/>
        <v>0</v>
      </c>
      <c r="T363" s="5">
        <f t="shared" si="32"/>
        <v>2660</v>
      </c>
      <c r="U363" s="42">
        <f>T363*'Constants Sheet'!$E$13</f>
        <v>218.63013698630135</v>
      </c>
      <c r="V363" s="40">
        <f>IF(T363&lt;'Manager Sheet'!$E$11,'Manager Sheet'!$E$14,0)</f>
        <v>0</v>
      </c>
      <c r="W363" s="45">
        <f>IFERROR(VLOOKUP(V363,'Constants Sheet'!$H$11:$J$14,3,TRUE),0)</f>
        <v>0</v>
      </c>
      <c r="Y363" s="15">
        <f t="shared" si="33"/>
        <v>2660</v>
      </c>
      <c r="Z363">
        <f t="shared" si="34"/>
        <v>590</v>
      </c>
      <c r="AA363" s="16">
        <f>IF('Calculation Sheet'!$D$11,'Manager Sheet'!$E$11,NA())</f>
        <v>200</v>
      </c>
    </row>
    <row r="364" spans="15:27" x14ac:dyDescent="0.25">
      <c r="O364" s="4">
        <v>356</v>
      </c>
      <c r="P364" s="4">
        <f t="shared" si="35"/>
        <v>2660</v>
      </c>
      <c r="Q364" s="5">
        <f>'Manager Sheet'!U363</f>
        <v>614</v>
      </c>
      <c r="R364" s="5">
        <f t="shared" si="30"/>
        <v>614</v>
      </c>
      <c r="S364" s="5">
        <f t="shared" si="31"/>
        <v>0</v>
      </c>
      <c r="T364" s="5">
        <f t="shared" si="32"/>
        <v>2046</v>
      </c>
      <c r="U364" s="42">
        <f>T364*'Constants Sheet'!$E$13</f>
        <v>168.16438356164383</v>
      </c>
      <c r="V364" s="40">
        <f>IF(T364&lt;'Manager Sheet'!$E$11,'Manager Sheet'!$E$14,0)</f>
        <v>0</v>
      </c>
      <c r="W364" s="45">
        <f>IFERROR(VLOOKUP(V364,'Constants Sheet'!$H$11:$J$14,3,TRUE),0)</f>
        <v>0</v>
      </c>
      <c r="Y364" s="15">
        <f t="shared" si="33"/>
        <v>2046</v>
      </c>
      <c r="Z364">
        <f t="shared" si="34"/>
        <v>614</v>
      </c>
      <c r="AA364" s="16">
        <f>IF('Calculation Sheet'!$D$11,'Manager Sheet'!$E$11,NA())</f>
        <v>200</v>
      </c>
    </row>
    <row r="365" spans="15:27" x14ac:dyDescent="0.25">
      <c r="O365" s="4">
        <v>357</v>
      </c>
      <c r="P365" s="4">
        <f t="shared" si="35"/>
        <v>2046</v>
      </c>
      <c r="Q365" s="5">
        <f>'Manager Sheet'!U364</f>
        <v>263</v>
      </c>
      <c r="R365" s="5">
        <f t="shared" si="30"/>
        <v>263</v>
      </c>
      <c r="S365" s="5">
        <f t="shared" si="31"/>
        <v>0</v>
      </c>
      <c r="T365" s="5">
        <f t="shared" si="32"/>
        <v>1783</v>
      </c>
      <c r="U365" s="42">
        <f>T365*'Constants Sheet'!$E$13</f>
        <v>146.54794520547944</v>
      </c>
      <c r="V365" s="40">
        <f>IF(T365&lt;'Manager Sheet'!$E$11,'Manager Sheet'!$E$14,0)</f>
        <v>0</v>
      </c>
      <c r="W365" s="45">
        <f>IFERROR(VLOOKUP(V365,'Constants Sheet'!$H$11:$J$14,3,TRUE),0)</f>
        <v>0</v>
      </c>
      <c r="Y365" s="15">
        <f t="shared" si="33"/>
        <v>1783</v>
      </c>
      <c r="Z365">
        <f t="shared" si="34"/>
        <v>263</v>
      </c>
      <c r="AA365" s="16">
        <f>IF('Calculation Sheet'!$D$11,'Manager Sheet'!$E$11,NA())</f>
        <v>200</v>
      </c>
    </row>
    <row r="366" spans="15:27" x14ac:dyDescent="0.25">
      <c r="O366" s="4">
        <v>358</v>
      </c>
      <c r="P366" s="4">
        <f t="shared" si="35"/>
        <v>1783</v>
      </c>
      <c r="Q366" s="5">
        <f>'Manager Sheet'!U365</f>
        <v>501</v>
      </c>
      <c r="R366" s="5">
        <f t="shared" si="30"/>
        <v>501</v>
      </c>
      <c r="S366" s="5">
        <f t="shared" si="31"/>
        <v>0</v>
      </c>
      <c r="T366" s="5">
        <f t="shared" si="32"/>
        <v>1282</v>
      </c>
      <c r="U366" s="42">
        <f>T366*'Constants Sheet'!$E$13</f>
        <v>105.36986301369862</v>
      </c>
      <c r="V366" s="40">
        <f>IF(T366&lt;'Manager Sheet'!$E$11,'Manager Sheet'!$E$14,0)</f>
        <v>0</v>
      </c>
      <c r="W366" s="45">
        <f>IFERROR(VLOOKUP(V366,'Constants Sheet'!$H$11:$J$14,3,TRUE),0)</f>
        <v>0</v>
      </c>
      <c r="Y366" s="15">
        <f t="shared" si="33"/>
        <v>1282</v>
      </c>
      <c r="Z366">
        <f t="shared" si="34"/>
        <v>501</v>
      </c>
      <c r="AA366" s="16">
        <f>IF('Calculation Sheet'!$D$11,'Manager Sheet'!$E$11,NA())</f>
        <v>200</v>
      </c>
    </row>
    <row r="367" spans="15:27" x14ac:dyDescent="0.25">
      <c r="O367" s="4">
        <v>359</v>
      </c>
      <c r="P367" s="4">
        <f t="shared" si="35"/>
        <v>1282</v>
      </c>
      <c r="Q367" s="5">
        <f>'Manager Sheet'!U366</f>
        <v>692</v>
      </c>
      <c r="R367" s="5">
        <f t="shared" si="30"/>
        <v>692</v>
      </c>
      <c r="S367" s="5">
        <f t="shared" si="31"/>
        <v>0</v>
      </c>
      <c r="T367" s="5">
        <f t="shared" si="32"/>
        <v>590</v>
      </c>
      <c r="U367" s="42">
        <f>T367*'Constants Sheet'!$E$13</f>
        <v>48.493150684931507</v>
      </c>
      <c r="V367" s="40">
        <f>IF(T367&lt;'Manager Sheet'!$E$11,'Manager Sheet'!$E$14,0)</f>
        <v>0</v>
      </c>
      <c r="W367" s="45">
        <f>IFERROR(VLOOKUP(V367,'Constants Sheet'!$H$11:$J$14,3,TRUE),0)</f>
        <v>0</v>
      </c>
      <c r="Y367" s="15">
        <f t="shared" si="33"/>
        <v>590</v>
      </c>
      <c r="Z367">
        <f t="shared" si="34"/>
        <v>692</v>
      </c>
      <c r="AA367" s="16">
        <f>IF('Calculation Sheet'!$D$11,'Manager Sheet'!$E$11,NA())</f>
        <v>200</v>
      </c>
    </row>
    <row r="368" spans="15:27" x14ac:dyDescent="0.25">
      <c r="O368" s="4">
        <v>360</v>
      </c>
      <c r="P368" s="4">
        <f t="shared" si="35"/>
        <v>590</v>
      </c>
      <c r="Q368" s="5">
        <f>'Manager Sheet'!U367</f>
        <v>450</v>
      </c>
      <c r="R368" s="5">
        <f t="shared" si="30"/>
        <v>450</v>
      </c>
      <c r="S368" s="5">
        <f t="shared" si="31"/>
        <v>0</v>
      </c>
      <c r="T368" s="5">
        <f t="shared" si="32"/>
        <v>140</v>
      </c>
      <c r="U368" s="42">
        <f>T368*'Constants Sheet'!$E$13</f>
        <v>11.506849315068493</v>
      </c>
      <c r="V368" s="40">
        <f>IF(T368&lt;'Manager Sheet'!$E$11,'Manager Sheet'!$E$14,0)</f>
        <v>5000</v>
      </c>
      <c r="W368" s="45">
        <f>IFERROR(VLOOKUP(V368,'Constants Sheet'!$H$11:$J$14,3,TRUE),0)</f>
        <v>175</v>
      </c>
      <c r="Y368" s="15">
        <f t="shared" si="33"/>
        <v>140</v>
      </c>
      <c r="Z368">
        <f t="shared" si="34"/>
        <v>450</v>
      </c>
      <c r="AA368" s="16">
        <f>IF('Calculation Sheet'!$D$11,'Manager Sheet'!$E$11,NA())</f>
        <v>200</v>
      </c>
    </row>
    <row r="369" spans="15:27" x14ac:dyDescent="0.25">
      <c r="O369" s="4">
        <v>361</v>
      </c>
      <c r="P369" s="4">
        <f t="shared" si="35"/>
        <v>5140</v>
      </c>
      <c r="Q369" s="5">
        <f>'Manager Sheet'!U368</f>
        <v>646</v>
      </c>
      <c r="R369" s="5">
        <f t="shared" si="30"/>
        <v>646</v>
      </c>
      <c r="S369" s="5">
        <f t="shared" si="31"/>
        <v>0</v>
      </c>
      <c r="T369" s="5">
        <f t="shared" si="32"/>
        <v>4494</v>
      </c>
      <c r="U369" s="42">
        <f>T369*'Constants Sheet'!$E$13</f>
        <v>369.36986301369859</v>
      </c>
      <c r="V369" s="40">
        <f>IF(T369&lt;'Manager Sheet'!$E$11,'Manager Sheet'!$E$14,0)</f>
        <v>0</v>
      </c>
      <c r="W369" s="45">
        <f>IFERROR(VLOOKUP(V369,'Constants Sheet'!$H$11:$J$14,3,TRUE),0)</f>
        <v>0</v>
      </c>
      <c r="Y369" s="15">
        <f t="shared" si="33"/>
        <v>4494</v>
      </c>
      <c r="Z369">
        <f t="shared" si="34"/>
        <v>646</v>
      </c>
      <c r="AA369" s="16">
        <f>IF('Calculation Sheet'!$D$11,'Manager Sheet'!$E$11,NA())</f>
        <v>200</v>
      </c>
    </row>
    <row r="370" spans="15:27" x14ac:dyDescent="0.25">
      <c r="O370" s="4">
        <v>362</v>
      </c>
      <c r="P370" s="4">
        <f t="shared" si="35"/>
        <v>4494</v>
      </c>
      <c r="Q370" s="5">
        <f>'Manager Sheet'!U369</f>
        <v>584</v>
      </c>
      <c r="R370" s="5">
        <f t="shared" si="30"/>
        <v>584</v>
      </c>
      <c r="S370" s="5">
        <f t="shared" si="31"/>
        <v>0</v>
      </c>
      <c r="T370" s="5">
        <f t="shared" si="32"/>
        <v>3910</v>
      </c>
      <c r="U370" s="42">
        <f>T370*'Constants Sheet'!$E$13</f>
        <v>321.36986301369859</v>
      </c>
      <c r="V370" s="40">
        <f>IF(T370&lt;'Manager Sheet'!$E$11,'Manager Sheet'!$E$14,0)</f>
        <v>0</v>
      </c>
      <c r="W370" s="45">
        <f>IFERROR(VLOOKUP(V370,'Constants Sheet'!$H$11:$J$14,3,TRUE),0)</f>
        <v>0</v>
      </c>
      <c r="Y370" s="15">
        <f t="shared" si="33"/>
        <v>3910</v>
      </c>
      <c r="Z370">
        <f t="shared" si="34"/>
        <v>584</v>
      </c>
      <c r="AA370" s="16">
        <f>IF('Calculation Sheet'!$D$11,'Manager Sheet'!$E$11,NA())</f>
        <v>200</v>
      </c>
    </row>
    <row r="371" spans="15:27" x14ac:dyDescent="0.25">
      <c r="O371" s="4">
        <v>363</v>
      </c>
      <c r="P371" s="4">
        <f t="shared" si="35"/>
        <v>3910</v>
      </c>
      <c r="Q371" s="5">
        <f>'Manager Sheet'!U370</f>
        <v>415</v>
      </c>
      <c r="R371" s="5">
        <f t="shared" si="30"/>
        <v>415</v>
      </c>
      <c r="S371" s="5">
        <f t="shared" si="31"/>
        <v>0</v>
      </c>
      <c r="T371" s="5">
        <f t="shared" si="32"/>
        <v>3495</v>
      </c>
      <c r="U371" s="42">
        <f>T371*'Constants Sheet'!$E$13</f>
        <v>287.2602739726027</v>
      </c>
      <c r="V371" s="40">
        <f>IF(T371&lt;'Manager Sheet'!$E$11,'Manager Sheet'!$E$14,0)</f>
        <v>0</v>
      </c>
      <c r="W371" s="45">
        <f>IFERROR(VLOOKUP(V371,'Constants Sheet'!$H$11:$J$14,3,TRUE),0)</f>
        <v>0</v>
      </c>
      <c r="Y371" s="15">
        <f t="shared" si="33"/>
        <v>3495</v>
      </c>
      <c r="Z371">
        <f t="shared" si="34"/>
        <v>415</v>
      </c>
      <c r="AA371" s="16">
        <f>IF('Calculation Sheet'!$D$11,'Manager Sheet'!$E$11,NA())</f>
        <v>200</v>
      </c>
    </row>
    <row r="372" spans="15:27" x14ac:dyDescent="0.25">
      <c r="O372" s="4">
        <v>364</v>
      </c>
      <c r="P372" s="4">
        <f t="shared" si="35"/>
        <v>3495</v>
      </c>
      <c r="Q372" s="5">
        <f>'Manager Sheet'!U371</f>
        <v>635</v>
      </c>
      <c r="R372" s="5">
        <f t="shared" si="30"/>
        <v>635</v>
      </c>
      <c r="S372" s="5">
        <f t="shared" si="31"/>
        <v>0</v>
      </c>
      <c r="T372" s="5">
        <f t="shared" si="32"/>
        <v>2860</v>
      </c>
      <c r="U372" s="42">
        <f>T372*'Constants Sheet'!$E$13</f>
        <v>235.06849315068493</v>
      </c>
      <c r="V372" s="40">
        <f>IF(T372&lt;'Manager Sheet'!$E$11,'Manager Sheet'!$E$14,0)</f>
        <v>0</v>
      </c>
      <c r="W372" s="45">
        <f>IFERROR(VLOOKUP(V372,'Constants Sheet'!$H$11:$J$14,3,TRUE),0)</f>
        <v>0</v>
      </c>
      <c r="Y372" s="15">
        <f t="shared" si="33"/>
        <v>2860</v>
      </c>
      <c r="Z372">
        <f t="shared" si="34"/>
        <v>635</v>
      </c>
      <c r="AA372" s="16">
        <f>IF('Calculation Sheet'!$D$11,'Manager Sheet'!$E$11,NA())</f>
        <v>200</v>
      </c>
    </row>
    <row r="373" spans="15:27" ht="15.75" thickBot="1" x14ac:dyDescent="0.3">
      <c r="O373" s="4">
        <v>365</v>
      </c>
      <c r="P373" s="4">
        <f t="shared" si="35"/>
        <v>2860</v>
      </c>
      <c r="Q373" s="5">
        <f>'Manager Sheet'!U372</f>
        <v>245</v>
      </c>
      <c r="R373" s="5">
        <f t="shared" si="30"/>
        <v>245</v>
      </c>
      <c r="S373" s="5">
        <f t="shared" si="31"/>
        <v>0</v>
      </c>
      <c r="T373" s="5">
        <f t="shared" si="32"/>
        <v>2615</v>
      </c>
      <c r="U373" s="42">
        <f>T373*'Constants Sheet'!$E$13</f>
        <v>214.93150684931507</v>
      </c>
      <c r="V373" s="40">
        <f>IF(T373&lt;'Manager Sheet'!$E$11,'Manager Sheet'!$E$14,0)</f>
        <v>0</v>
      </c>
      <c r="W373" s="45">
        <f>IFERROR(VLOOKUP(V373,'Constants Sheet'!$H$11:$J$14,3,TRUE),0)</f>
        <v>0</v>
      </c>
      <c r="Y373" s="17">
        <f t="shared" si="33"/>
        <v>2615</v>
      </c>
      <c r="Z373" s="18">
        <f t="shared" si="34"/>
        <v>245</v>
      </c>
      <c r="AA373" s="19">
        <f>IF('Calculation Sheet'!$D$11,'Manager Sheet'!$E$11,NA())</f>
        <v>200</v>
      </c>
    </row>
    <row r="374" spans="15:27" ht="15.75" thickBot="1" x14ac:dyDescent="0.3">
      <c r="O374" s="20" t="s">
        <v>38</v>
      </c>
      <c r="P374" s="46">
        <f>SUM(P9:P373)</f>
        <v>998186</v>
      </c>
      <c r="Q374" s="46">
        <f t="shared" ref="Q374:W374" si="36">SUM(Q9:Q373)</f>
        <v>183765</v>
      </c>
      <c r="R374" s="46">
        <f t="shared" si="36"/>
        <v>178885</v>
      </c>
      <c r="S374" s="46">
        <f t="shared" si="36"/>
        <v>4880</v>
      </c>
      <c r="T374" s="46">
        <f t="shared" si="36"/>
        <v>819301</v>
      </c>
      <c r="U374" s="47">
        <f t="shared" si="36"/>
        <v>67339.8082191781</v>
      </c>
      <c r="V374" s="46">
        <f t="shared" si="36"/>
        <v>180000</v>
      </c>
      <c r="W374" s="48">
        <f t="shared" si="36"/>
        <v>6300</v>
      </c>
    </row>
  </sheetData>
  <mergeCells count="17">
    <mergeCell ref="L10:M10"/>
    <mergeCell ref="F8:M9"/>
    <mergeCell ref="F2:R6"/>
    <mergeCell ref="D18:I18"/>
    <mergeCell ref="B18:C18"/>
    <mergeCell ref="F12:K12"/>
    <mergeCell ref="L12:M12"/>
    <mergeCell ref="F14:K14"/>
    <mergeCell ref="L14:M14"/>
    <mergeCell ref="F16:K16"/>
    <mergeCell ref="L16:M16"/>
    <mergeCell ref="B2:E6"/>
    <mergeCell ref="B8:D8"/>
    <mergeCell ref="B9:C9"/>
    <mergeCell ref="B10:C10"/>
    <mergeCell ref="B11:C11"/>
    <mergeCell ref="F10:K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4B1D2-8EC1-43F6-8AD4-2F46479E6F0D}">
  <sheetPr codeName="Sheet4"/>
  <dimension ref="A1:D366"/>
  <sheetViews>
    <sheetView topLeftCell="A348" workbookViewId="0">
      <selection activeCell="B366" sqref="B2:B366"/>
    </sheetView>
  </sheetViews>
  <sheetFormatPr defaultRowHeight="15" x14ac:dyDescent="0.25"/>
  <cols>
    <col min="1" max="1" width="6.7109375" bestFit="1" customWidth="1"/>
    <col min="2" max="4" width="15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>
        <v>493</v>
      </c>
      <c r="C2">
        <v>466</v>
      </c>
      <c r="D2">
        <v>482</v>
      </c>
    </row>
    <row r="3" spans="1:4" x14ac:dyDescent="0.25">
      <c r="A3">
        <v>2</v>
      </c>
      <c r="B3">
        <v>540</v>
      </c>
      <c r="C3">
        <v>569</v>
      </c>
      <c r="D3">
        <v>903</v>
      </c>
    </row>
    <row r="4" spans="1:4" x14ac:dyDescent="0.25">
      <c r="A4">
        <v>3</v>
      </c>
      <c r="B4">
        <v>345</v>
      </c>
      <c r="C4">
        <v>436</v>
      </c>
      <c r="D4">
        <v>248</v>
      </c>
    </row>
    <row r="5" spans="1:4" x14ac:dyDescent="0.25">
      <c r="A5">
        <v>4</v>
      </c>
      <c r="B5">
        <v>556</v>
      </c>
      <c r="C5">
        <v>147</v>
      </c>
      <c r="D5">
        <v>484</v>
      </c>
    </row>
    <row r="6" spans="1:4" x14ac:dyDescent="0.25">
      <c r="A6">
        <v>5</v>
      </c>
      <c r="B6">
        <v>474</v>
      </c>
      <c r="C6">
        <v>686</v>
      </c>
      <c r="D6">
        <v>851</v>
      </c>
    </row>
    <row r="7" spans="1:4" x14ac:dyDescent="0.25">
      <c r="A7">
        <v>6</v>
      </c>
      <c r="B7">
        <v>416</v>
      </c>
      <c r="C7">
        <v>725</v>
      </c>
      <c r="D7">
        <v>660</v>
      </c>
    </row>
    <row r="8" spans="1:4" x14ac:dyDescent="0.25">
      <c r="A8">
        <v>7</v>
      </c>
      <c r="B8">
        <v>295</v>
      </c>
      <c r="C8">
        <v>522</v>
      </c>
      <c r="D8">
        <v>784</v>
      </c>
    </row>
    <row r="9" spans="1:4" x14ac:dyDescent="0.25">
      <c r="A9">
        <v>8</v>
      </c>
      <c r="B9">
        <v>324</v>
      </c>
      <c r="C9">
        <v>129</v>
      </c>
      <c r="D9">
        <v>317</v>
      </c>
    </row>
    <row r="10" spans="1:4" x14ac:dyDescent="0.25">
      <c r="A10">
        <v>9</v>
      </c>
      <c r="B10">
        <v>610</v>
      </c>
      <c r="C10">
        <v>129</v>
      </c>
      <c r="D10">
        <v>526</v>
      </c>
    </row>
    <row r="11" spans="1:4" x14ac:dyDescent="0.25">
      <c r="A11">
        <v>10</v>
      </c>
      <c r="B11">
        <v>548</v>
      </c>
      <c r="C11">
        <v>466</v>
      </c>
      <c r="D11">
        <v>736</v>
      </c>
    </row>
    <row r="12" spans="1:4" x14ac:dyDescent="0.25">
      <c r="A12">
        <v>11</v>
      </c>
      <c r="B12">
        <v>467</v>
      </c>
      <c r="C12">
        <v>476</v>
      </c>
      <c r="D12">
        <v>970</v>
      </c>
    </row>
    <row r="13" spans="1:4" x14ac:dyDescent="0.25">
      <c r="A13">
        <v>12</v>
      </c>
      <c r="B13">
        <v>729</v>
      </c>
      <c r="C13">
        <v>721</v>
      </c>
      <c r="D13">
        <v>397</v>
      </c>
    </row>
    <row r="14" spans="1:4" x14ac:dyDescent="0.25">
      <c r="A14">
        <v>13</v>
      </c>
      <c r="B14">
        <v>632</v>
      </c>
      <c r="C14">
        <v>130</v>
      </c>
      <c r="D14">
        <v>313</v>
      </c>
    </row>
    <row r="15" spans="1:4" x14ac:dyDescent="0.25">
      <c r="A15">
        <v>14</v>
      </c>
      <c r="B15">
        <v>542</v>
      </c>
      <c r="C15">
        <v>604</v>
      </c>
      <c r="D15">
        <v>948</v>
      </c>
    </row>
    <row r="16" spans="1:4" x14ac:dyDescent="0.25">
      <c r="A16">
        <v>15</v>
      </c>
      <c r="B16">
        <v>315</v>
      </c>
      <c r="C16">
        <v>299</v>
      </c>
      <c r="D16">
        <v>203</v>
      </c>
    </row>
    <row r="17" spans="1:4" x14ac:dyDescent="0.25">
      <c r="A17">
        <v>16</v>
      </c>
      <c r="B17">
        <v>516</v>
      </c>
      <c r="C17">
        <v>526</v>
      </c>
      <c r="D17">
        <v>641</v>
      </c>
    </row>
    <row r="18" spans="1:4" x14ac:dyDescent="0.25">
      <c r="A18">
        <v>17</v>
      </c>
      <c r="B18">
        <v>272</v>
      </c>
      <c r="C18">
        <v>841</v>
      </c>
      <c r="D18">
        <v>306</v>
      </c>
    </row>
    <row r="19" spans="1:4" x14ac:dyDescent="0.25">
      <c r="A19">
        <v>18</v>
      </c>
      <c r="B19">
        <v>478</v>
      </c>
      <c r="C19">
        <v>355</v>
      </c>
      <c r="D19">
        <v>643</v>
      </c>
    </row>
    <row r="20" spans="1:4" x14ac:dyDescent="0.25">
      <c r="A20">
        <v>19</v>
      </c>
      <c r="B20">
        <v>378</v>
      </c>
      <c r="C20">
        <v>274</v>
      </c>
      <c r="D20">
        <v>758</v>
      </c>
    </row>
    <row r="21" spans="1:4" x14ac:dyDescent="0.25">
      <c r="A21">
        <v>20</v>
      </c>
      <c r="B21">
        <v>342</v>
      </c>
      <c r="C21">
        <v>220</v>
      </c>
      <c r="D21">
        <v>422</v>
      </c>
    </row>
    <row r="22" spans="1:4" x14ac:dyDescent="0.25">
      <c r="A22">
        <v>21</v>
      </c>
      <c r="B22">
        <v>837</v>
      </c>
      <c r="C22">
        <v>176</v>
      </c>
      <c r="D22">
        <v>277</v>
      </c>
    </row>
    <row r="23" spans="1:4" x14ac:dyDescent="0.25">
      <c r="A23">
        <v>22</v>
      </c>
      <c r="B23">
        <v>338</v>
      </c>
      <c r="C23">
        <v>152</v>
      </c>
      <c r="D23">
        <v>583</v>
      </c>
    </row>
    <row r="24" spans="1:4" x14ac:dyDescent="0.25">
      <c r="A24">
        <v>23</v>
      </c>
      <c r="B24">
        <v>770</v>
      </c>
      <c r="C24">
        <v>250</v>
      </c>
      <c r="D24">
        <v>418</v>
      </c>
    </row>
    <row r="25" spans="1:4" x14ac:dyDescent="0.25">
      <c r="A25">
        <v>24</v>
      </c>
      <c r="B25">
        <v>654</v>
      </c>
      <c r="C25">
        <v>842</v>
      </c>
      <c r="D25">
        <v>628</v>
      </c>
    </row>
    <row r="26" spans="1:4" x14ac:dyDescent="0.25">
      <c r="A26">
        <v>25</v>
      </c>
      <c r="B26">
        <v>553</v>
      </c>
      <c r="C26">
        <v>225</v>
      </c>
      <c r="D26">
        <v>761</v>
      </c>
    </row>
    <row r="27" spans="1:4" x14ac:dyDescent="0.25">
      <c r="A27">
        <v>26</v>
      </c>
      <c r="B27">
        <v>563</v>
      </c>
      <c r="C27">
        <v>649</v>
      </c>
      <c r="D27">
        <v>364</v>
      </c>
    </row>
    <row r="28" spans="1:4" x14ac:dyDescent="0.25">
      <c r="A28">
        <v>27</v>
      </c>
      <c r="B28">
        <v>449</v>
      </c>
      <c r="C28">
        <v>466</v>
      </c>
      <c r="D28">
        <v>486</v>
      </c>
    </row>
    <row r="29" spans="1:4" x14ac:dyDescent="0.25">
      <c r="A29">
        <v>28</v>
      </c>
      <c r="B29">
        <v>712</v>
      </c>
      <c r="C29">
        <v>881</v>
      </c>
      <c r="D29">
        <v>964</v>
      </c>
    </row>
    <row r="30" spans="1:4" x14ac:dyDescent="0.25">
      <c r="A30">
        <v>29</v>
      </c>
      <c r="B30">
        <v>461</v>
      </c>
      <c r="C30">
        <v>843</v>
      </c>
      <c r="D30">
        <v>284</v>
      </c>
    </row>
    <row r="31" spans="1:4" x14ac:dyDescent="0.25">
      <c r="A31">
        <v>30</v>
      </c>
      <c r="B31">
        <v>511</v>
      </c>
      <c r="C31">
        <v>468</v>
      </c>
      <c r="D31">
        <v>787</v>
      </c>
    </row>
    <row r="32" spans="1:4" x14ac:dyDescent="0.25">
      <c r="A32">
        <v>31</v>
      </c>
      <c r="B32">
        <v>392</v>
      </c>
      <c r="C32">
        <v>115</v>
      </c>
      <c r="D32">
        <v>249</v>
      </c>
    </row>
    <row r="33" spans="1:4" x14ac:dyDescent="0.25">
      <c r="A33">
        <v>32</v>
      </c>
      <c r="B33">
        <v>634</v>
      </c>
      <c r="C33">
        <v>352</v>
      </c>
      <c r="D33">
        <v>609</v>
      </c>
    </row>
    <row r="34" spans="1:4" x14ac:dyDescent="0.25">
      <c r="A34">
        <v>33</v>
      </c>
      <c r="B34">
        <v>274</v>
      </c>
      <c r="C34">
        <v>655</v>
      </c>
      <c r="D34">
        <v>644</v>
      </c>
    </row>
    <row r="35" spans="1:4" x14ac:dyDescent="0.25">
      <c r="A35">
        <v>34</v>
      </c>
      <c r="B35">
        <v>438</v>
      </c>
      <c r="C35">
        <v>603</v>
      </c>
      <c r="D35">
        <v>954</v>
      </c>
    </row>
    <row r="36" spans="1:4" x14ac:dyDescent="0.25">
      <c r="A36">
        <v>35</v>
      </c>
      <c r="B36">
        <v>522</v>
      </c>
      <c r="C36">
        <v>538</v>
      </c>
      <c r="D36">
        <v>854</v>
      </c>
    </row>
    <row r="37" spans="1:4" x14ac:dyDescent="0.25">
      <c r="A37">
        <v>36</v>
      </c>
      <c r="B37">
        <v>675</v>
      </c>
      <c r="C37">
        <v>487</v>
      </c>
      <c r="D37">
        <v>334</v>
      </c>
    </row>
    <row r="38" spans="1:4" x14ac:dyDescent="0.25">
      <c r="A38">
        <v>37</v>
      </c>
      <c r="B38">
        <v>709</v>
      </c>
      <c r="C38">
        <v>399</v>
      </c>
      <c r="D38">
        <v>349</v>
      </c>
    </row>
    <row r="39" spans="1:4" x14ac:dyDescent="0.25">
      <c r="A39">
        <v>38</v>
      </c>
      <c r="B39">
        <v>773</v>
      </c>
      <c r="C39">
        <v>306</v>
      </c>
      <c r="D39">
        <v>597</v>
      </c>
    </row>
    <row r="40" spans="1:4" x14ac:dyDescent="0.25">
      <c r="A40">
        <v>39</v>
      </c>
      <c r="B40">
        <v>517</v>
      </c>
      <c r="C40">
        <v>423</v>
      </c>
      <c r="D40">
        <v>318</v>
      </c>
    </row>
    <row r="41" spans="1:4" x14ac:dyDescent="0.25">
      <c r="A41">
        <v>40</v>
      </c>
      <c r="B41">
        <v>243</v>
      </c>
      <c r="C41">
        <v>117</v>
      </c>
      <c r="D41">
        <v>622</v>
      </c>
    </row>
    <row r="42" spans="1:4" x14ac:dyDescent="0.25">
      <c r="A42">
        <v>41</v>
      </c>
      <c r="B42">
        <v>377</v>
      </c>
      <c r="C42">
        <v>481</v>
      </c>
      <c r="D42">
        <v>575</v>
      </c>
    </row>
    <row r="43" spans="1:4" x14ac:dyDescent="0.25">
      <c r="A43">
        <v>42</v>
      </c>
      <c r="B43">
        <v>734</v>
      </c>
      <c r="C43">
        <v>679</v>
      </c>
      <c r="D43">
        <v>671</v>
      </c>
    </row>
    <row r="44" spans="1:4" x14ac:dyDescent="0.25">
      <c r="A44">
        <v>43</v>
      </c>
      <c r="B44">
        <v>388</v>
      </c>
      <c r="C44">
        <v>206</v>
      </c>
      <c r="D44">
        <v>824</v>
      </c>
    </row>
    <row r="45" spans="1:4" x14ac:dyDescent="0.25">
      <c r="A45">
        <v>44</v>
      </c>
      <c r="B45">
        <v>492</v>
      </c>
      <c r="C45">
        <v>702</v>
      </c>
      <c r="D45">
        <v>488</v>
      </c>
    </row>
    <row r="46" spans="1:4" x14ac:dyDescent="0.25">
      <c r="A46">
        <v>45</v>
      </c>
      <c r="B46">
        <v>345</v>
      </c>
      <c r="C46">
        <v>118</v>
      </c>
      <c r="D46">
        <v>229</v>
      </c>
    </row>
    <row r="47" spans="1:4" x14ac:dyDescent="0.25">
      <c r="A47">
        <v>46</v>
      </c>
      <c r="B47">
        <v>476</v>
      </c>
      <c r="C47">
        <v>328</v>
      </c>
      <c r="D47">
        <v>234</v>
      </c>
    </row>
    <row r="48" spans="1:4" x14ac:dyDescent="0.25">
      <c r="A48">
        <v>47</v>
      </c>
      <c r="B48">
        <v>565</v>
      </c>
      <c r="C48">
        <v>786</v>
      </c>
      <c r="D48">
        <v>569</v>
      </c>
    </row>
    <row r="49" spans="1:4" x14ac:dyDescent="0.25">
      <c r="A49">
        <v>48</v>
      </c>
      <c r="B49">
        <v>595</v>
      </c>
      <c r="C49">
        <v>354</v>
      </c>
      <c r="D49">
        <v>969</v>
      </c>
    </row>
    <row r="50" spans="1:4" x14ac:dyDescent="0.25">
      <c r="A50">
        <v>49</v>
      </c>
      <c r="B50">
        <v>585</v>
      </c>
      <c r="C50">
        <v>666</v>
      </c>
      <c r="D50">
        <v>539</v>
      </c>
    </row>
    <row r="51" spans="1:4" x14ac:dyDescent="0.25">
      <c r="A51">
        <v>50</v>
      </c>
      <c r="B51">
        <v>181</v>
      </c>
      <c r="C51">
        <v>279</v>
      </c>
      <c r="D51">
        <v>584</v>
      </c>
    </row>
    <row r="52" spans="1:4" x14ac:dyDescent="0.25">
      <c r="A52">
        <v>51</v>
      </c>
      <c r="B52">
        <v>461</v>
      </c>
      <c r="C52">
        <v>803</v>
      </c>
      <c r="D52">
        <v>278</v>
      </c>
    </row>
    <row r="53" spans="1:4" x14ac:dyDescent="0.25">
      <c r="A53">
        <v>52</v>
      </c>
      <c r="B53">
        <v>581</v>
      </c>
      <c r="C53">
        <v>141</v>
      </c>
      <c r="D53">
        <v>828</v>
      </c>
    </row>
    <row r="54" spans="1:4" x14ac:dyDescent="0.25">
      <c r="A54">
        <v>53</v>
      </c>
      <c r="B54">
        <v>486</v>
      </c>
      <c r="C54">
        <v>142</v>
      </c>
      <c r="D54">
        <v>669</v>
      </c>
    </row>
    <row r="55" spans="1:4" x14ac:dyDescent="0.25">
      <c r="A55">
        <v>54</v>
      </c>
      <c r="B55">
        <v>516</v>
      </c>
      <c r="C55">
        <v>579</v>
      </c>
      <c r="D55">
        <v>816</v>
      </c>
    </row>
    <row r="56" spans="1:4" x14ac:dyDescent="0.25">
      <c r="A56">
        <v>55</v>
      </c>
      <c r="B56">
        <v>779</v>
      </c>
      <c r="C56">
        <v>265</v>
      </c>
      <c r="D56">
        <v>856</v>
      </c>
    </row>
    <row r="57" spans="1:4" x14ac:dyDescent="0.25">
      <c r="A57">
        <v>56</v>
      </c>
      <c r="B57">
        <v>753</v>
      </c>
      <c r="C57">
        <v>526</v>
      </c>
      <c r="D57">
        <v>754</v>
      </c>
    </row>
    <row r="58" spans="1:4" x14ac:dyDescent="0.25">
      <c r="A58">
        <v>57</v>
      </c>
      <c r="B58">
        <v>600</v>
      </c>
      <c r="C58">
        <v>162</v>
      </c>
      <c r="D58">
        <v>253</v>
      </c>
    </row>
    <row r="59" spans="1:4" x14ac:dyDescent="0.25">
      <c r="A59">
        <v>58</v>
      </c>
      <c r="B59">
        <v>484</v>
      </c>
      <c r="C59">
        <v>232</v>
      </c>
      <c r="D59">
        <v>679</v>
      </c>
    </row>
    <row r="60" spans="1:4" x14ac:dyDescent="0.25">
      <c r="A60">
        <v>59</v>
      </c>
      <c r="B60">
        <v>618</v>
      </c>
      <c r="C60">
        <v>267</v>
      </c>
      <c r="D60">
        <v>767</v>
      </c>
    </row>
    <row r="61" spans="1:4" x14ac:dyDescent="0.25">
      <c r="A61">
        <v>60</v>
      </c>
      <c r="B61">
        <v>772</v>
      </c>
      <c r="C61">
        <v>255</v>
      </c>
      <c r="D61">
        <v>696</v>
      </c>
    </row>
    <row r="62" spans="1:4" x14ac:dyDescent="0.25">
      <c r="A62">
        <v>61</v>
      </c>
      <c r="B62">
        <v>392</v>
      </c>
      <c r="C62">
        <v>161</v>
      </c>
      <c r="D62">
        <v>535</v>
      </c>
    </row>
    <row r="63" spans="1:4" x14ac:dyDescent="0.25">
      <c r="A63">
        <v>62</v>
      </c>
      <c r="B63">
        <v>361</v>
      </c>
      <c r="C63">
        <v>569</v>
      </c>
      <c r="D63">
        <v>959</v>
      </c>
    </row>
    <row r="64" spans="1:4" x14ac:dyDescent="0.25">
      <c r="A64">
        <v>63</v>
      </c>
      <c r="B64">
        <v>299</v>
      </c>
      <c r="C64">
        <v>563</v>
      </c>
      <c r="D64">
        <v>837</v>
      </c>
    </row>
    <row r="65" spans="1:4" x14ac:dyDescent="0.25">
      <c r="A65">
        <v>64</v>
      </c>
      <c r="B65">
        <v>432</v>
      </c>
      <c r="C65">
        <v>860</v>
      </c>
      <c r="D65">
        <v>466</v>
      </c>
    </row>
    <row r="66" spans="1:4" x14ac:dyDescent="0.25">
      <c r="A66">
        <v>65</v>
      </c>
      <c r="B66">
        <v>379</v>
      </c>
      <c r="C66">
        <v>892</v>
      </c>
      <c r="D66">
        <v>519</v>
      </c>
    </row>
    <row r="67" spans="1:4" x14ac:dyDescent="0.25">
      <c r="A67">
        <v>66</v>
      </c>
      <c r="B67">
        <v>554</v>
      </c>
      <c r="C67">
        <v>837</v>
      </c>
      <c r="D67">
        <v>502</v>
      </c>
    </row>
    <row r="68" spans="1:4" x14ac:dyDescent="0.25">
      <c r="A68">
        <v>67</v>
      </c>
      <c r="B68">
        <v>504</v>
      </c>
      <c r="C68">
        <v>532</v>
      </c>
      <c r="D68">
        <v>973</v>
      </c>
    </row>
    <row r="69" spans="1:4" x14ac:dyDescent="0.25">
      <c r="A69">
        <v>68</v>
      </c>
      <c r="B69">
        <v>454</v>
      </c>
      <c r="C69">
        <v>488</v>
      </c>
      <c r="D69">
        <v>500</v>
      </c>
    </row>
    <row r="70" spans="1:4" x14ac:dyDescent="0.25">
      <c r="A70">
        <v>69</v>
      </c>
      <c r="B70">
        <v>619</v>
      </c>
      <c r="C70">
        <v>312</v>
      </c>
      <c r="D70">
        <v>252</v>
      </c>
    </row>
    <row r="71" spans="1:4" x14ac:dyDescent="0.25">
      <c r="A71">
        <v>70</v>
      </c>
      <c r="B71">
        <v>454</v>
      </c>
      <c r="C71">
        <v>390</v>
      </c>
      <c r="D71">
        <v>566</v>
      </c>
    </row>
    <row r="72" spans="1:4" x14ac:dyDescent="0.25">
      <c r="A72">
        <v>71</v>
      </c>
      <c r="B72">
        <v>442</v>
      </c>
      <c r="C72">
        <v>299</v>
      </c>
      <c r="D72">
        <v>508</v>
      </c>
    </row>
    <row r="73" spans="1:4" x14ac:dyDescent="0.25">
      <c r="A73">
        <v>72</v>
      </c>
      <c r="B73">
        <v>458</v>
      </c>
      <c r="C73">
        <v>278</v>
      </c>
      <c r="D73">
        <v>797</v>
      </c>
    </row>
    <row r="74" spans="1:4" x14ac:dyDescent="0.25">
      <c r="A74">
        <v>73</v>
      </c>
      <c r="B74">
        <v>550</v>
      </c>
      <c r="C74">
        <v>868</v>
      </c>
      <c r="D74">
        <v>800</v>
      </c>
    </row>
    <row r="75" spans="1:4" x14ac:dyDescent="0.25">
      <c r="A75">
        <v>74</v>
      </c>
      <c r="B75">
        <v>569</v>
      </c>
      <c r="C75">
        <v>444</v>
      </c>
      <c r="D75">
        <v>407</v>
      </c>
    </row>
    <row r="76" spans="1:4" x14ac:dyDescent="0.25">
      <c r="A76">
        <v>75</v>
      </c>
      <c r="B76">
        <v>599</v>
      </c>
      <c r="C76">
        <v>518</v>
      </c>
      <c r="D76">
        <v>570</v>
      </c>
    </row>
    <row r="77" spans="1:4" x14ac:dyDescent="0.25">
      <c r="A77">
        <v>76</v>
      </c>
      <c r="B77">
        <v>582</v>
      </c>
      <c r="C77">
        <v>158</v>
      </c>
      <c r="D77">
        <v>298</v>
      </c>
    </row>
    <row r="78" spans="1:4" x14ac:dyDescent="0.25">
      <c r="A78">
        <v>77</v>
      </c>
      <c r="B78">
        <v>489</v>
      </c>
      <c r="C78">
        <v>539</v>
      </c>
      <c r="D78">
        <v>476</v>
      </c>
    </row>
    <row r="79" spans="1:4" x14ac:dyDescent="0.25">
      <c r="A79">
        <v>78</v>
      </c>
      <c r="B79">
        <v>758</v>
      </c>
      <c r="C79">
        <v>418</v>
      </c>
      <c r="D79">
        <v>349</v>
      </c>
    </row>
    <row r="80" spans="1:4" x14ac:dyDescent="0.25">
      <c r="A80">
        <v>79</v>
      </c>
      <c r="B80">
        <v>477</v>
      </c>
      <c r="C80">
        <v>420</v>
      </c>
      <c r="D80">
        <v>856</v>
      </c>
    </row>
    <row r="81" spans="1:4" x14ac:dyDescent="0.25">
      <c r="A81">
        <v>80</v>
      </c>
      <c r="B81">
        <v>706</v>
      </c>
      <c r="C81">
        <v>789</v>
      </c>
      <c r="D81">
        <v>233</v>
      </c>
    </row>
    <row r="82" spans="1:4" x14ac:dyDescent="0.25">
      <c r="A82">
        <v>81</v>
      </c>
      <c r="B82">
        <v>561</v>
      </c>
      <c r="C82">
        <v>722</v>
      </c>
      <c r="D82">
        <v>180</v>
      </c>
    </row>
    <row r="83" spans="1:4" x14ac:dyDescent="0.25">
      <c r="A83">
        <v>82</v>
      </c>
      <c r="B83">
        <v>658</v>
      </c>
      <c r="C83">
        <v>650</v>
      </c>
      <c r="D83">
        <v>825</v>
      </c>
    </row>
    <row r="84" spans="1:4" x14ac:dyDescent="0.25">
      <c r="A84">
        <v>83</v>
      </c>
      <c r="B84">
        <v>239</v>
      </c>
      <c r="C84">
        <v>191</v>
      </c>
      <c r="D84">
        <v>823</v>
      </c>
    </row>
    <row r="85" spans="1:4" x14ac:dyDescent="0.25">
      <c r="A85">
        <v>84</v>
      </c>
      <c r="B85">
        <v>515</v>
      </c>
      <c r="C85">
        <v>360</v>
      </c>
      <c r="D85">
        <v>337</v>
      </c>
    </row>
    <row r="86" spans="1:4" x14ac:dyDescent="0.25">
      <c r="A86">
        <v>85</v>
      </c>
      <c r="B86">
        <v>632</v>
      </c>
      <c r="C86">
        <v>785</v>
      </c>
      <c r="D86">
        <v>468</v>
      </c>
    </row>
    <row r="87" spans="1:4" x14ac:dyDescent="0.25">
      <c r="A87">
        <v>86</v>
      </c>
      <c r="B87">
        <v>716</v>
      </c>
      <c r="C87">
        <v>123</v>
      </c>
      <c r="D87">
        <v>215</v>
      </c>
    </row>
    <row r="88" spans="1:4" x14ac:dyDescent="0.25">
      <c r="A88">
        <v>87</v>
      </c>
      <c r="B88">
        <v>577</v>
      </c>
      <c r="C88">
        <v>428</v>
      </c>
      <c r="D88">
        <v>191</v>
      </c>
    </row>
    <row r="89" spans="1:4" x14ac:dyDescent="0.25">
      <c r="A89">
        <v>88</v>
      </c>
      <c r="B89">
        <v>483</v>
      </c>
      <c r="C89">
        <v>228</v>
      </c>
      <c r="D89">
        <v>777</v>
      </c>
    </row>
    <row r="90" spans="1:4" x14ac:dyDescent="0.25">
      <c r="A90">
        <v>89</v>
      </c>
      <c r="B90">
        <v>452</v>
      </c>
      <c r="C90">
        <v>837</v>
      </c>
      <c r="D90">
        <v>198</v>
      </c>
    </row>
    <row r="91" spans="1:4" x14ac:dyDescent="0.25">
      <c r="A91">
        <v>90</v>
      </c>
      <c r="B91">
        <v>508</v>
      </c>
      <c r="C91">
        <v>550</v>
      </c>
      <c r="D91">
        <v>359</v>
      </c>
    </row>
    <row r="92" spans="1:4" x14ac:dyDescent="0.25">
      <c r="A92">
        <v>91</v>
      </c>
      <c r="B92">
        <v>631</v>
      </c>
      <c r="C92">
        <v>631</v>
      </c>
      <c r="D92">
        <v>486</v>
      </c>
    </row>
    <row r="93" spans="1:4" x14ac:dyDescent="0.25">
      <c r="A93">
        <v>92</v>
      </c>
      <c r="B93">
        <v>326</v>
      </c>
      <c r="C93">
        <v>529</v>
      </c>
      <c r="D93">
        <v>602</v>
      </c>
    </row>
    <row r="94" spans="1:4" x14ac:dyDescent="0.25">
      <c r="A94">
        <v>93</v>
      </c>
      <c r="B94">
        <v>533</v>
      </c>
      <c r="C94">
        <v>610</v>
      </c>
      <c r="D94">
        <v>705</v>
      </c>
    </row>
    <row r="95" spans="1:4" x14ac:dyDescent="0.25">
      <c r="A95">
        <v>94</v>
      </c>
      <c r="B95">
        <v>345</v>
      </c>
      <c r="C95">
        <v>586</v>
      </c>
      <c r="D95">
        <v>705</v>
      </c>
    </row>
    <row r="96" spans="1:4" x14ac:dyDescent="0.25">
      <c r="A96">
        <v>95</v>
      </c>
      <c r="B96">
        <v>892</v>
      </c>
      <c r="C96">
        <v>541</v>
      </c>
      <c r="D96">
        <v>784</v>
      </c>
    </row>
    <row r="97" spans="1:4" x14ac:dyDescent="0.25">
      <c r="A97">
        <v>96</v>
      </c>
      <c r="B97">
        <v>590</v>
      </c>
      <c r="C97">
        <v>822</v>
      </c>
      <c r="D97">
        <v>613</v>
      </c>
    </row>
    <row r="98" spans="1:4" x14ac:dyDescent="0.25">
      <c r="A98">
        <v>97</v>
      </c>
      <c r="B98">
        <v>571</v>
      </c>
      <c r="C98">
        <v>217</v>
      </c>
      <c r="D98">
        <v>390</v>
      </c>
    </row>
    <row r="99" spans="1:4" x14ac:dyDescent="0.25">
      <c r="A99">
        <v>98</v>
      </c>
      <c r="B99">
        <v>392</v>
      </c>
      <c r="C99">
        <v>438</v>
      </c>
      <c r="D99">
        <v>301</v>
      </c>
    </row>
    <row r="100" spans="1:4" x14ac:dyDescent="0.25">
      <c r="A100">
        <v>99</v>
      </c>
      <c r="B100">
        <v>393</v>
      </c>
      <c r="C100">
        <v>209</v>
      </c>
      <c r="D100">
        <v>302</v>
      </c>
    </row>
    <row r="101" spans="1:4" x14ac:dyDescent="0.25">
      <c r="A101">
        <v>100</v>
      </c>
      <c r="B101">
        <v>442</v>
      </c>
      <c r="C101">
        <v>327</v>
      </c>
      <c r="D101">
        <v>516</v>
      </c>
    </row>
    <row r="102" spans="1:4" x14ac:dyDescent="0.25">
      <c r="A102">
        <v>101</v>
      </c>
      <c r="B102">
        <v>371</v>
      </c>
      <c r="C102">
        <v>701</v>
      </c>
      <c r="D102">
        <v>750</v>
      </c>
    </row>
    <row r="103" spans="1:4" x14ac:dyDescent="0.25">
      <c r="A103">
        <v>102</v>
      </c>
      <c r="B103">
        <v>368</v>
      </c>
      <c r="C103">
        <v>369</v>
      </c>
      <c r="D103">
        <v>857</v>
      </c>
    </row>
    <row r="104" spans="1:4" x14ac:dyDescent="0.25">
      <c r="A104">
        <v>103</v>
      </c>
      <c r="B104">
        <v>829</v>
      </c>
      <c r="C104">
        <v>512</v>
      </c>
      <c r="D104">
        <v>928</v>
      </c>
    </row>
    <row r="105" spans="1:4" x14ac:dyDescent="0.25">
      <c r="A105">
        <v>104</v>
      </c>
      <c r="B105">
        <v>555</v>
      </c>
      <c r="C105">
        <v>877</v>
      </c>
      <c r="D105">
        <v>940</v>
      </c>
    </row>
    <row r="106" spans="1:4" x14ac:dyDescent="0.25">
      <c r="A106">
        <v>105</v>
      </c>
      <c r="B106">
        <v>553</v>
      </c>
      <c r="C106">
        <v>724</v>
      </c>
      <c r="D106">
        <v>849</v>
      </c>
    </row>
    <row r="107" spans="1:4" x14ac:dyDescent="0.25">
      <c r="A107">
        <v>106</v>
      </c>
      <c r="B107">
        <v>567</v>
      </c>
      <c r="C107">
        <v>741</v>
      </c>
      <c r="D107">
        <v>440</v>
      </c>
    </row>
    <row r="108" spans="1:4" x14ac:dyDescent="0.25">
      <c r="A108">
        <v>107</v>
      </c>
      <c r="B108">
        <v>748</v>
      </c>
      <c r="C108">
        <v>352</v>
      </c>
      <c r="D108">
        <v>339</v>
      </c>
    </row>
    <row r="109" spans="1:4" x14ac:dyDescent="0.25">
      <c r="A109">
        <v>108</v>
      </c>
      <c r="B109">
        <v>509</v>
      </c>
      <c r="C109">
        <v>854</v>
      </c>
      <c r="D109">
        <v>679</v>
      </c>
    </row>
    <row r="110" spans="1:4" x14ac:dyDescent="0.25">
      <c r="A110">
        <v>109</v>
      </c>
      <c r="B110">
        <v>364</v>
      </c>
      <c r="C110">
        <v>714</v>
      </c>
      <c r="D110">
        <v>299</v>
      </c>
    </row>
    <row r="111" spans="1:4" x14ac:dyDescent="0.25">
      <c r="A111">
        <v>110</v>
      </c>
      <c r="B111">
        <v>407</v>
      </c>
      <c r="C111">
        <v>569</v>
      </c>
      <c r="D111">
        <v>379</v>
      </c>
    </row>
    <row r="112" spans="1:4" x14ac:dyDescent="0.25">
      <c r="A112">
        <v>111</v>
      </c>
      <c r="B112">
        <v>391</v>
      </c>
      <c r="C112">
        <v>270</v>
      </c>
      <c r="D112">
        <v>373</v>
      </c>
    </row>
    <row r="113" spans="1:4" x14ac:dyDescent="0.25">
      <c r="A113">
        <v>112</v>
      </c>
      <c r="B113">
        <v>409</v>
      </c>
      <c r="C113">
        <v>236</v>
      </c>
      <c r="D113">
        <v>758</v>
      </c>
    </row>
    <row r="114" spans="1:4" x14ac:dyDescent="0.25">
      <c r="A114">
        <v>113</v>
      </c>
      <c r="B114">
        <v>519</v>
      </c>
      <c r="C114">
        <v>199</v>
      </c>
      <c r="D114">
        <v>246</v>
      </c>
    </row>
    <row r="115" spans="1:4" x14ac:dyDescent="0.25">
      <c r="A115">
        <v>114</v>
      </c>
      <c r="B115">
        <v>324</v>
      </c>
      <c r="C115">
        <v>211</v>
      </c>
      <c r="D115">
        <v>435</v>
      </c>
    </row>
    <row r="116" spans="1:4" x14ac:dyDescent="0.25">
      <c r="A116">
        <v>115</v>
      </c>
      <c r="B116">
        <v>433</v>
      </c>
      <c r="C116">
        <v>624</v>
      </c>
      <c r="D116">
        <v>797</v>
      </c>
    </row>
    <row r="117" spans="1:4" x14ac:dyDescent="0.25">
      <c r="A117">
        <v>116</v>
      </c>
      <c r="B117">
        <v>710</v>
      </c>
      <c r="C117">
        <v>320</v>
      </c>
      <c r="D117">
        <v>273</v>
      </c>
    </row>
    <row r="118" spans="1:4" x14ac:dyDescent="0.25">
      <c r="A118">
        <v>117</v>
      </c>
      <c r="B118">
        <v>586</v>
      </c>
      <c r="C118">
        <v>217</v>
      </c>
      <c r="D118">
        <v>344</v>
      </c>
    </row>
    <row r="119" spans="1:4" x14ac:dyDescent="0.25">
      <c r="A119">
        <v>118</v>
      </c>
      <c r="B119">
        <v>300</v>
      </c>
      <c r="C119">
        <v>726</v>
      </c>
      <c r="D119">
        <v>525</v>
      </c>
    </row>
    <row r="120" spans="1:4" x14ac:dyDescent="0.25">
      <c r="A120">
        <v>119</v>
      </c>
      <c r="B120">
        <v>535</v>
      </c>
      <c r="C120">
        <v>731</v>
      </c>
      <c r="D120">
        <v>408</v>
      </c>
    </row>
    <row r="121" spans="1:4" x14ac:dyDescent="0.25">
      <c r="A121">
        <v>120</v>
      </c>
      <c r="B121">
        <v>558</v>
      </c>
      <c r="C121">
        <v>518</v>
      </c>
      <c r="D121">
        <v>903</v>
      </c>
    </row>
    <row r="122" spans="1:4" x14ac:dyDescent="0.25">
      <c r="A122">
        <v>121</v>
      </c>
      <c r="B122">
        <v>603</v>
      </c>
      <c r="C122">
        <v>762</v>
      </c>
      <c r="D122">
        <v>705</v>
      </c>
    </row>
    <row r="123" spans="1:4" x14ac:dyDescent="0.25">
      <c r="A123">
        <v>122</v>
      </c>
      <c r="B123">
        <v>546</v>
      </c>
      <c r="C123">
        <v>722</v>
      </c>
      <c r="D123">
        <v>932</v>
      </c>
    </row>
    <row r="124" spans="1:4" x14ac:dyDescent="0.25">
      <c r="A124">
        <v>123</v>
      </c>
      <c r="B124">
        <v>808</v>
      </c>
      <c r="C124">
        <v>114</v>
      </c>
      <c r="D124">
        <v>784</v>
      </c>
    </row>
    <row r="125" spans="1:4" x14ac:dyDescent="0.25">
      <c r="A125">
        <v>124</v>
      </c>
      <c r="B125">
        <v>687</v>
      </c>
      <c r="C125">
        <v>350</v>
      </c>
      <c r="D125">
        <v>817</v>
      </c>
    </row>
    <row r="126" spans="1:4" x14ac:dyDescent="0.25">
      <c r="A126">
        <v>125</v>
      </c>
      <c r="B126">
        <v>486</v>
      </c>
      <c r="C126">
        <v>259</v>
      </c>
      <c r="D126">
        <v>477</v>
      </c>
    </row>
    <row r="127" spans="1:4" x14ac:dyDescent="0.25">
      <c r="A127">
        <v>126</v>
      </c>
      <c r="B127">
        <v>478</v>
      </c>
      <c r="C127">
        <v>177</v>
      </c>
      <c r="D127">
        <v>840</v>
      </c>
    </row>
    <row r="128" spans="1:4" x14ac:dyDescent="0.25">
      <c r="A128">
        <v>127</v>
      </c>
      <c r="B128">
        <v>510</v>
      </c>
      <c r="C128">
        <v>110</v>
      </c>
      <c r="D128">
        <v>531</v>
      </c>
    </row>
    <row r="129" spans="1:4" x14ac:dyDescent="0.25">
      <c r="A129">
        <v>128</v>
      </c>
      <c r="B129">
        <v>828</v>
      </c>
      <c r="C129">
        <v>850</v>
      </c>
      <c r="D129">
        <v>436</v>
      </c>
    </row>
    <row r="130" spans="1:4" x14ac:dyDescent="0.25">
      <c r="A130">
        <v>129</v>
      </c>
      <c r="B130">
        <v>469</v>
      </c>
      <c r="C130">
        <v>323</v>
      </c>
      <c r="D130">
        <v>261</v>
      </c>
    </row>
    <row r="131" spans="1:4" x14ac:dyDescent="0.25">
      <c r="A131">
        <v>130</v>
      </c>
      <c r="B131">
        <v>520</v>
      </c>
      <c r="C131">
        <v>334</v>
      </c>
      <c r="D131">
        <v>669</v>
      </c>
    </row>
    <row r="132" spans="1:4" x14ac:dyDescent="0.25">
      <c r="A132">
        <v>131</v>
      </c>
      <c r="B132">
        <v>328</v>
      </c>
      <c r="C132">
        <v>472</v>
      </c>
      <c r="D132">
        <v>654</v>
      </c>
    </row>
    <row r="133" spans="1:4" x14ac:dyDescent="0.25">
      <c r="A133">
        <v>132</v>
      </c>
      <c r="B133">
        <v>599</v>
      </c>
      <c r="C133">
        <v>713</v>
      </c>
      <c r="D133">
        <v>244</v>
      </c>
    </row>
    <row r="134" spans="1:4" x14ac:dyDescent="0.25">
      <c r="A134">
        <v>133</v>
      </c>
      <c r="B134">
        <v>542</v>
      </c>
      <c r="C134">
        <v>651</v>
      </c>
      <c r="D134">
        <v>646</v>
      </c>
    </row>
    <row r="135" spans="1:4" x14ac:dyDescent="0.25">
      <c r="A135">
        <v>134</v>
      </c>
      <c r="B135">
        <v>534</v>
      </c>
      <c r="C135">
        <v>430</v>
      </c>
      <c r="D135">
        <v>878</v>
      </c>
    </row>
    <row r="136" spans="1:4" x14ac:dyDescent="0.25">
      <c r="A136">
        <v>135</v>
      </c>
      <c r="B136">
        <v>417</v>
      </c>
      <c r="C136">
        <v>413</v>
      </c>
      <c r="D136">
        <v>714</v>
      </c>
    </row>
    <row r="137" spans="1:4" x14ac:dyDescent="0.25">
      <c r="A137">
        <v>136</v>
      </c>
      <c r="B137">
        <v>258</v>
      </c>
      <c r="C137">
        <v>838</v>
      </c>
      <c r="D137">
        <v>650</v>
      </c>
    </row>
    <row r="138" spans="1:4" x14ac:dyDescent="0.25">
      <c r="A138">
        <v>137</v>
      </c>
      <c r="B138">
        <v>675</v>
      </c>
      <c r="C138">
        <v>498</v>
      </c>
      <c r="D138">
        <v>703</v>
      </c>
    </row>
    <row r="139" spans="1:4" x14ac:dyDescent="0.25">
      <c r="A139">
        <v>138</v>
      </c>
      <c r="B139">
        <v>615</v>
      </c>
      <c r="C139">
        <v>127</v>
      </c>
      <c r="D139">
        <v>359</v>
      </c>
    </row>
    <row r="140" spans="1:4" x14ac:dyDescent="0.25">
      <c r="A140">
        <v>139</v>
      </c>
      <c r="B140">
        <v>711</v>
      </c>
      <c r="C140">
        <v>840</v>
      </c>
      <c r="D140">
        <v>313</v>
      </c>
    </row>
    <row r="141" spans="1:4" x14ac:dyDescent="0.25">
      <c r="A141">
        <v>140</v>
      </c>
      <c r="B141">
        <v>410</v>
      </c>
      <c r="C141">
        <v>362</v>
      </c>
      <c r="D141">
        <v>814</v>
      </c>
    </row>
    <row r="142" spans="1:4" x14ac:dyDescent="0.25">
      <c r="A142">
        <v>141</v>
      </c>
      <c r="B142">
        <v>428</v>
      </c>
      <c r="C142">
        <v>216</v>
      </c>
      <c r="D142">
        <v>947</v>
      </c>
    </row>
    <row r="143" spans="1:4" x14ac:dyDescent="0.25">
      <c r="A143">
        <v>142</v>
      </c>
      <c r="B143">
        <v>423</v>
      </c>
      <c r="C143">
        <v>883</v>
      </c>
      <c r="D143">
        <v>314</v>
      </c>
    </row>
    <row r="144" spans="1:4" x14ac:dyDescent="0.25">
      <c r="A144">
        <v>143</v>
      </c>
      <c r="B144">
        <v>535</v>
      </c>
      <c r="C144">
        <v>189</v>
      </c>
      <c r="D144">
        <v>178</v>
      </c>
    </row>
    <row r="145" spans="1:4" x14ac:dyDescent="0.25">
      <c r="A145">
        <v>144</v>
      </c>
      <c r="B145">
        <v>475</v>
      </c>
      <c r="C145">
        <v>350</v>
      </c>
      <c r="D145">
        <v>738</v>
      </c>
    </row>
    <row r="146" spans="1:4" x14ac:dyDescent="0.25">
      <c r="A146">
        <v>145</v>
      </c>
      <c r="B146">
        <v>482</v>
      </c>
      <c r="C146">
        <v>342</v>
      </c>
      <c r="D146">
        <v>521</v>
      </c>
    </row>
    <row r="147" spans="1:4" x14ac:dyDescent="0.25">
      <c r="A147">
        <v>146</v>
      </c>
      <c r="B147">
        <v>263</v>
      </c>
      <c r="C147">
        <v>538</v>
      </c>
      <c r="D147">
        <v>497</v>
      </c>
    </row>
    <row r="148" spans="1:4" x14ac:dyDescent="0.25">
      <c r="A148">
        <v>147</v>
      </c>
      <c r="B148">
        <v>466</v>
      </c>
      <c r="C148">
        <v>110</v>
      </c>
      <c r="D148">
        <v>451</v>
      </c>
    </row>
    <row r="149" spans="1:4" x14ac:dyDescent="0.25">
      <c r="A149">
        <v>148</v>
      </c>
      <c r="B149">
        <v>236</v>
      </c>
      <c r="C149">
        <v>383</v>
      </c>
      <c r="D149">
        <v>542</v>
      </c>
    </row>
    <row r="150" spans="1:4" x14ac:dyDescent="0.25">
      <c r="A150">
        <v>149</v>
      </c>
      <c r="B150">
        <v>401</v>
      </c>
      <c r="C150">
        <v>227</v>
      </c>
      <c r="D150">
        <v>943</v>
      </c>
    </row>
    <row r="151" spans="1:4" x14ac:dyDescent="0.25">
      <c r="A151">
        <v>150</v>
      </c>
      <c r="B151">
        <v>509</v>
      </c>
      <c r="C151">
        <v>564</v>
      </c>
      <c r="D151">
        <v>435</v>
      </c>
    </row>
    <row r="152" spans="1:4" x14ac:dyDescent="0.25">
      <c r="A152">
        <v>151</v>
      </c>
      <c r="B152">
        <v>423</v>
      </c>
      <c r="C152">
        <v>150</v>
      </c>
      <c r="D152">
        <v>377</v>
      </c>
    </row>
    <row r="153" spans="1:4" x14ac:dyDescent="0.25">
      <c r="A153">
        <v>152</v>
      </c>
      <c r="B153">
        <v>724</v>
      </c>
      <c r="C153">
        <v>333</v>
      </c>
      <c r="D153">
        <v>851</v>
      </c>
    </row>
    <row r="154" spans="1:4" x14ac:dyDescent="0.25">
      <c r="A154">
        <v>153</v>
      </c>
      <c r="B154">
        <v>580</v>
      </c>
      <c r="C154">
        <v>465</v>
      </c>
      <c r="D154">
        <v>370</v>
      </c>
    </row>
    <row r="155" spans="1:4" x14ac:dyDescent="0.25">
      <c r="A155">
        <v>154</v>
      </c>
      <c r="B155">
        <v>247</v>
      </c>
      <c r="C155">
        <v>199</v>
      </c>
      <c r="D155">
        <v>779</v>
      </c>
    </row>
    <row r="156" spans="1:4" x14ac:dyDescent="0.25">
      <c r="A156">
        <v>155</v>
      </c>
      <c r="B156">
        <v>642</v>
      </c>
      <c r="C156">
        <v>101</v>
      </c>
      <c r="D156">
        <v>372</v>
      </c>
    </row>
    <row r="157" spans="1:4" x14ac:dyDescent="0.25">
      <c r="A157">
        <v>156</v>
      </c>
      <c r="B157">
        <v>528</v>
      </c>
      <c r="C157">
        <v>896</v>
      </c>
      <c r="D157">
        <v>456</v>
      </c>
    </row>
    <row r="158" spans="1:4" x14ac:dyDescent="0.25">
      <c r="A158">
        <v>157</v>
      </c>
      <c r="B158">
        <v>596</v>
      </c>
      <c r="C158">
        <v>412</v>
      </c>
      <c r="D158">
        <v>260</v>
      </c>
    </row>
    <row r="159" spans="1:4" x14ac:dyDescent="0.25">
      <c r="A159">
        <v>158</v>
      </c>
      <c r="B159">
        <v>549</v>
      </c>
      <c r="C159">
        <v>403</v>
      </c>
      <c r="D159">
        <v>866</v>
      </c>
    </row>
    <row r="160" spans="1:4" x14ac:dyDescent="0.25">
      <c r="A160">
        <v>159</v>
      </c>
      <c r="B160">
        <v>329</v>
      </c>
      <c r="C160">
        <v>433</v>
      </c>
      <c r="D160">
        <v>636</v>
      </c>
    </row>
    <row r="161" spans="1:4" x14ac:dyDescent="0.25">
      <c r="A161">
        <v>160</v>
      </c>
      <c r="B161">
        <v>691</v>
      </c>
      <c r="C161">
        <v>234</v>
      </c>
      <c r="D161">
        <v>777</v>
      </c>
    </row>
    <row r="162" spans="1:4" x14ac:dyDescent="0.25">
      <c r="A162">
        <v>161</v>
      </c>
      <c r="B162">
        <v>490</v>
      </c>
      <c r="C162">
        <v>346</v>
      </c>
      <c r="D162">
        <v>331</v>
      </c>
    </row>
    <row r="163" spans="1:4" x14ac:dyDescent="0.25">
      <c r="A163">
        <v>162</v>
      </c>
      <c r="B163">
        <v>433</v>
      </c>
      <c r="C163">
        <v>326</v>
      </c>
      <c r="D163">
        <v>891</v>
      </c>
    </row>
    <row r="164" spans="1:4" x14ac:dyDescent="0.25">
      <c r="A164">
        <v>163</v>
      </c>
      <c r="B164">
        <v>516</v>
      </c>
      <c r="C164">
        <v>892</v>
      </c>
      <c r="D164">
        <v>940</v>
      </c>
    </row>
    <row r="165" spans="1:4" x14ac:dyDescent="0.25">
      <c r="A165">
        <v>164</v>
      </c>
      <c r="B165">
        <v>688</v>
      </c>
      <c r="C165">
        <v>688</v>
      </c>
      <c r="D165">
        <v>876</v>
      </c>
    </row>
    <row r="166" spans="1:4" x14ac:dyDescent="0.25">
      <c r="A166">
        <v>165</v>
      </c>
      <c r="B166">
        <v>513</v>
      </c>
      <c r="C166">
        <v>777</v>
      </c>
      <c r="D166">
        <v>218</v>
      </c>
    </row>
    <row r="167" spans="1:4" x14ac:dyDescent="0.25">
      <c r="A167">
        <v>166</v>
      </c>
      <c r="B167">
        <v>385</v>
      </c>
      <c r="C167">
        <v>455</v>
      </c>
      <c r="D167">
        <v>941</v>
      </c>
    </row>
    <row r="168" spans="1:4" x14ac:dyDescent="0.25">
      <c r="A168">
        <v>167</v>
      </c>
      <c r="B168">
        <v>351</v>
      </c>
      <c r="C168">
        <v>463</v>
      </c>
      <c r="D168">
        <v>253</v>
      </c>
    </row>
    <row r="169" spans="1:4" x14ac:dyDescent="0.25">
      <c r="A169">
        <v>168</v>
      </c>
      <c r="B169">
        <v>494</v>
      </c>
      <c r="C169">
        <v>342</v>
      </c>
      <c r="D169">
        <v>179</v>
      </c>
    </row>
    <row r="170" spans="1:4" x14ac:dyDescent="0.25">
      <c r="A170">
        <v>169</v>
      </c>
      <c r="B170">
        <v>567</v>
      </c>
      <c r="C170">
        <v>854</v>
      </c>
      <c r="D170">
        <v>343</v>
      </c>
    </row>
    <row r="171" spans="1:4" x14ac:dyDescent="0.25">
      <c r="A171">
        <v>170</v>
      </c>
      <c r="B171">
        <v>428</v>
      </c>
      <c r="C171">
        <v>412</v>
      </c>
      <c r="D171">
        <v>449</v>
      </c>
    </row>
    <row r="172" spans="1:4" x14ac:dyDescent="0.25">
      <c r="A172">
        <v>171</v>
      </c>
      <c r="B172">
        <v>442</v>
      </c>
      <c r="C172">
        <v>319</v>
      </c>
      <c r="D172">
        <v>457</v>
      </c>
    </row>
    <row r="173" spans="1:4" x14ac:dyDescent="0.25">
      <c r="A173">
        <v>172</v>
      </c>
      <c r="B173">
        <v>393</v>
      </c>
      <c r="C173">
        <v>368</v>
      </c>
      <c r="D173">
        <v>898</v>
      </c>
    </row>
    <row r="174" spans="1:4" x14ac:dyDescent="0.25">
      <c r="A174">
        <v>173</v>
      </c>
      <c r="B174">
        <v>366</v>
      </c>
      <c r="C174">
        <v>649</v>
      </c>
      <c r="D174">
        <v>712</v>
      </c>
    </row>
    <row r="175" spans="1:4" x14ac:dyDescent="0.25">
      <c r="A175">
        <v>174</v>
      </c>
      <c r="B175">
        <v>315</v>
      </c>
      <c r="C175">
        <v>644</v>
      </c>
      <c r="D175">
        <v>892</v>
      </c>
    </row>
    <row r="176" spans="1:4" x14ac:dyDescent="0.25">
      <c r="A176">
        <v>175</v>
      </c>
      <c r="B176">
        <v>397</v>
      </c>
      <c r="C176">
        <v>690</v>
      </c>
      <c r="D176">
        <v>546</v>
      </c>
    </row>
    <row r="177" spans="1:4" x14ac:dyDescent="0.25">
      <c r="A177">
        <v>176</v>
      </c>
      <c r="B177">
        <v>597</v>
      </c>
      <c r="C177">
        <v>716</v>
      </c>
      <c r="D177">
        <v>295</v>
      </c>
    </row>
    <row r="178" spans="1:4" x14ac:dyDescent="0.25">
      <c r="A178">
        <v>177</v>
      </c>
      <c r="B178">
        <v>482</v>
      </c>
      <c r="C178">
        <v>164</v>
      </c>
      <c r="D178">
        <v>257</v>
      </c>
    </row>
    <row r="179" spans="1:4" x14ac:dyDescent="0.25">
      <c r="A179">
        <v>178</v>
      </c>
      <c r="B179">
        <v>470</v>
      </c>
      <c r="C179">
        <v>114</v>
      </c>
      <c r="D179">
        <v>875</v>
      </c>
    </row>
    <row r="180" spans="1:4" x14ac:dyDescent="0.25">
      <c r="A180">
        <v>179</v>
      </c>
      <c r="B180">
        <v>406</v>
      </c>
      <c r="C180">
        <v>560</v>
      </c>
      <c r="D180">
        <v>342</v>
      </c>
    </row>
    <row r="181" spans="1:4" x14ac:dyDescent="0.25">
      <c r="A181">
        <v>180</v>
      </c>
      <c r="B181">
        <v>425</v>
      </c>
      <c r="C181">
        <v>498</v>
      </c>
      <c r="D181">
        <v>345</v>
      </c>
    </row>
    <row r="182" spans="1:4" x14ac:dyDescent="0.25">
      <c r="A182">
        <v>181</v>
      </c>
      <c r="B182">
        <v>249</v>
      </c>
      <c r="C182">
        <v>285</v>
      </c>
      <c r="D182">
        <v>463</v>
      </c>
    </row>
    <row r="183" spans="1:4" x14ac:dyDescent="0.25">
      <c r="A183">
        <v>182</v>
      </c>
      <c r="B183">
        <v>592</v>
      </c>
      <c r="C183">
        <v>748</v>
      </c>
      <c r="D183">
        <v>873</v>
      </c>
    </row>
    <row r="184" spans="1:4" x14ac:dyDescent="0.25">
      <c r="A184">
        <v>183</v>
      </c>
      <c r="B184">
        <v>294</v>
      </c>
      <c r="C184">
        <v>123</v>
      </c>
      <c r="D184">
        <v>726</v>
      </c>
    </row>
    <row r="185" spans="1:4" x14ac:dyDescent="0.25">
      <c r="A185">
        <v>184</v>
      </c>
      <c r="B185">
        <v>642</v>
      </c>
      <c r="C185">
        <v>207</v>
      </c>
      <c r="D185">
        <v>339</v>
      </c>
    </row>
    <row r="186" spans="1:4" x14ac:dyDescent="0.25">
      <c r="A186">
        <v>185</v>
      </c>
      <c r="B186">
        <v>522</v>
      </c>
      <c r="C186">
        <v>769</v>
      </c>
      <c r="D186">
        <v>289</v>
      </c>
    </row>
    <row r="187" spans="1:4" x14ac:dyDescent="0.25">
      <c r="A187">
        <v>186</v>
      </c>
      <c r="B187">
        <v>645</v>
      </c>
      <c r="C187">
        <v>825</v>
      </c>
      <c r="D187">
        <v>258</v>
      </c>
    </row>
    <row r="188" spans="1:4" x14ac:dyDescent="0.25">
      <c r="A188">
        <v>187</v>
      </c>
      <c r="B188">
        <v>545</v>
      </c>
      <c r="C188">
        <v>336</v>
      </c>
      <c r="D188">
        <v>404</v>
      </c>
    </row>
    <row r="189" spans="1:4" x14ac:dyDescent="0.25">
      <c r="A189">
        <v>188</v>
      </c>
      <c r="B189">
        <v>558</v>
      </c>
      <c r="C189">
        <v>408</v>
      </c>
      <c r="D189">
        <v>308</v>
      </c>
    </row>
    <row r="190" spans="1:4" x14ac:dyDescent="0.25">
      <c r="A190">
        <v>189</v>
      </c>
      <c r="B190">
        <v>256</v>
      </c>
      <c r="C190">
        <v>741</v>
      </c>
      <c r="D190">
        <v>263</v>
      </c>
    </row>
    <row r="191" spans="1:4" x14ac:dyDescent="0.25">
      <c r="A191">
        <v>190</v>
      </c>
      <c r="B191">
        <v>526</v>
      </c>
      <c r="C191">
        <v>540</v>
      </c>
      <c r="D191">
        <v>265</v>
      </c>
    </row>
    <row r="192" spans="1:4" x14ac:dyDescent="0.25">
      <c r="A192">
        <v>191</v>
      </c>
      <c r="B192">
        <v>343</v>
      </c>
      <c r="C192">
        <v>582</v>
      </c>
      <c r="D192">
        <v>509</v>
      </c>
    </row>
    <row r="193" spans="1:4" x14ac:dyDescent="0.25">
      <c r="A193">
        <v>192</v>
      </c>
      <c r="B193">
        <v>365</v>
      </c>
      <c r="C193">
        <v>360</v>
      </c>
      <c r="D193">
        <v>460</v>
      </c>
    </row>
    <row r="194" spans="1:4" x14ac:dyDescent="0.25">
      <c r="A194">
        <v>193</v>
      </c>
      <c r="B194">
        <v>413</v>
      </c>
      <c r="C194">
        <v>649</v>
      </c>
      <c r="D194">
        <v>354</v>
      </c>
    </row>
    <row r="195" spans="1:4" x14ac:dyDescent="0.25">
      <c r="A195">
        <v>194</v>
      </c>
      <c r="B195">
        <v>609</v>
      </c>
      <c r="C195">
        <v>858</v>
      </c>
      <c r="D195">
        <v>923</v>
      </c>
    </row>
    <row r="196" spans="1:4" x14ac:dyDescent="0.25">
      <c r="A196">
        <v>195</v>
      </c>
      <c r="B196">
        <v>590</v>
      </c>
      <c r="C196">
        <v>219</v>
      </c>
      <c r="D196">
        <v>671</v>
      </c>
    </row>
    <row r="197" spans="1:4" x14ac:dyDescent="0.25">
      <c r="A197">
        <v>196</v>
      </c>
      <c r="B197">
        <v>523</v>
      </c>
      <c r="C197">
        <v>152</v>
      </c>
      <c r="D197">
        <v>209</v>
      </c>
    </row>
    <row r="198" spans="1:4" x14ac:dyDescent="0.25">
      <c r="A198">
        <v>197</v>
      </c>
      <c r="B198">
        <v>513</v>
      </c>
      <c r="C198">
        <v>784</v>
      </c>
      <c r="D198">
        <v>631</v>
      </c>
    </row>
    <row r="199" spans="1:4" x14ac:dyDescent="0.25">
      <c r="A199">
        <v>198</v>
      </c>
      <c r="B199">
        <v>566</v>
      </c>
      <c r="C199">
        <v>531</v>
      </c>
      <c r="D199">
        <v>504</v>
      </c>
    </row>
    <row r="200" spans="1:4" x14ac:dyDescent="0.25">
      <c r="A200">
        <v>199</v>
      </c>
      <c r="B200">
        <v>570</v>
      </c>
      <c r="C200">
        <v>412</v>
      </c>
      <c r="D200">
        <v>236</v>
      </c>
    </row>
    <row r="201" spans="1:4" x14ac:dyDescent="0.25">
      <c r="A201">
        <v>200</v>
      </c>
      <c r="B201">
        <v>340</v>
      </c>
      <c r="C201">
        <v>558</v>
      </c>
      <c r="D201">
        <v>794</v>
      </c>
    </row>
    <row r="202" spans="1:4" x14ac:dyDescent="0.25">
      <c r="A202">
        <v>201</v>
      </c>
      <c r="B202">
        <v>804</v>
      </c>
      <c r="C202">
        <v>568</v>
      </c>
      <c r="D202">
        <v>244</v>
      </c>
    </row>
    <row r="203" spans="1:4" x14ac:dyDescent="0.25">
      <c r="A203">
        <v>202</v>
      </c>
      <c r="B203">
        <v>668</v>
      </c>
      <c r="C203">
        <v>421</v>
      </c>
      <c r="D203">
        <v>677</v>
      </c>
    </row>
    <row r="204" spans="1:4" x14ac:dyDescent="0.25">
      <c r="A204">
        <v>203</v>
      </c>
      <c r="B204">
        <v>762</v>
      </c>
      <c r="C204">
        <v>449</v>
      </c>
      <c r="D204">
        <v>395</v>
      </c>
    </row>
    <row r="205" spans="1:4" x14ac:dyDescent="0.25">
      <c r="A205">
        <v>204</v>
      </c>
      <c r="B205">
        <v>393</v>
      </c>
      <c r="C205">
        <v>592</v>
      </c>
      <c r="D205">
        <v>421</v>
      </c>
    </row>
    <row r="206" spans="1:4" x14ac:dyDescent="0.25">
      <c r="A206">
        <v>205</v>
      </c>
      <c r="B206">
        <v>611</v>
      </c>
      <c r="C206">
        <v>444</v>
      </c>
      <c r="D206">
        <v>429</v>
      </c>
    </row>
    <row r="207" spans="1:4" x14ac:dyDescent="0.25">
      <c r="A207">
        <v>206</v>
      </c>
      <c r="B207">
        <v>414</v>
      </c>
      <c r="C207">
        <v>347</v>
      </c>
      <c r="D207">
        <v>883</v>
      </c>
    </row>
    <row r="208" spans="1:4" x14ac:dyDescent="0.25">
      <c r="A208">
        <v>207</v>
      </c>
      <c r="B208">
        <v>464</v>
      </c>
      <c r="C208">
        <v>421</v>
      </c>
      <c r="D208">
        <v>467</v>
      </c>
    </row>
    <row r="209" spans="1:4" x14ac:dyDescent="0.25">
      <c r="A209">
        <v>208</v>
      </c>
      <c r="B209">
        <v>580</v>
      </c>
      <c r="C209">
        <v>516</v>
      </c>
      <c r="D209">
        <v>233</v>
      </c>
    </row>
    <row r="210" spans="1:4" x14ac:dyDescent="0.25">
      <c r="A210">
        <v>209</v>
      </c>
      <c r="B210">
        <v>593</v>
      </c>
      <c r="C210">
        <v>796</v>
      </c>
      <c r="D210">
        <v>725</v>
      </c>
    </row>
    <row r="211" spans="1:4" x14ac:dyDescent="0.25">
      <c r="A211">
        <v>210</v>
      </c>
      <c r="B211">
        <v>485</v>
      </c>
      <c r="C211">
        <v>160</v>
      </c>
      <c r="D211">
        <v>321</v>
      </c>
    </row>
    <row r="212" spans="1:4" x14ac:dyDescent="0.25">
      <c r="A212">
        <v>211</v>
      </c>
      <c r="B212">
        <v>731</v>
      </c>
      <c r="C212">
        <v>126</v>
      </c>
      <c r="D212">
        <v>882</v>
      </c>
    </row>
    <row r="213" spans="1:4" x14ac:dyDescent="0.25">
      <c r="A213">
        <v>212</v>
      </c>
      <c r="B213">
        <v>568</v>
      </c>
      <c r="C213">
        <v>745</v>
      </c>
      <c r="D213">
        <v>265</v>
      </c>
    </row>
    <row r="214" spans="1:4" x14ac:dyDescent="0.25">
      <c r="A214">
        <v>213</v>
      </c>
      <c r="B214">
        <v>890</v>
      </c>
      <c r="C214">
        <v>181</v>
      </c>
      <c r="D214">
        <v>442</v>
      </c>
    </row>
    <row r="215" spans="1:4" x14ac:dyDescent="0.25">
      <c r="A215">
        <v>214</v>
      </c>
      <c r="B215">
        <v>523</v>
      </c>
      <c r="C215">
        <v>569</v>
      </c>
      <c r="D215">
        <v>766</v>
      </c>
    </row>
    <row r="216" spans="1:4" x14ac:dyDescent="0.25">
      <c r="A216">
        <v>215</v>
      </c>
      <c r="B216">
        <v>469</v>
      </c>
      <c r="C216">
        <v>272</v>
      </c>
      <c r="D216">
        <v>729</v>
      </c>
    </row>
    <row r="217" spans="1:4" x14ac:dyDescent="0.25">
      <c r="A217">
        <v>216</v>
      </c>
      <c r="B217">
        <v>452</v>
      </c>
      <c r="C217">
        <v>118</v>
      </c>
      <c r="D217">
        <v>908</v>
      </c>
    </row>
    <row r="218" spans="1:4" x14ac:dyDescent="0.25">
      <c r="A218">
        <v>217</v>
      </c>
      <c r="B218">
        <v>385</v>
      </c>
      <c r="C218">
        <v>456</v>
      </c>
      <c r="D218">
        <v>957</v>
      </c>
    </row>
    <row r="219" spans="1:4" x14ac:dyDescent="0.25">
      <c r="A219">
        <v>218</v>
      </c>
      <c r="B219">
        <v>526</v>
      </c>
      <c r="C219">
        <v>723</v>
      </c>
      <c r="D219">
        <v>615</v>
      </c>
    </row>
    <row r="220" spans="1:4" x14ac:dyDescent="0.25">
      <c r="A220">
        <v>219</v>
      </c>
      <c r="B220">
        <v>808</v>
      </c>
      <c r="C220">
        <v>255</v>
      </c>
      <c r="D220">
        <v>587</v>
      </c>
    </row>
    <row r="221" spans="1:4" x14ac:dyDescent="0.25">
      <c r="A221">
        <v>220</v>
      </c>
      <c r="B221">
        <v>414</v>
      </c>
      <c r="C221">
        <v>885</v>
      </c>
      <c r="D221">
        <v>853</v>
      </c>
    </row>
    <row r="222" spans="1:4" x14ac:dyDescent="0.25">
      <c r="A222">
        <v>221</v>
      </c>
      <c r="B222">
        <v>385</v>
      </c>
      <c r="C222">
        <v>163</v>
      </c>
      <c r="D222">
        <v>527</v>
      </c>
    </row>
    <row r="223" spans="1:4" x14ac:dyDescent="0.25">
      <c r="A223">
        <v>222</v>
      </c>
      <c r="B223">
        <v>547</v>
      </c>
      <c r="C223">
        <v>689</v>
      </c>
      <c r="D223">
        <v>434</v>
      </c>
    </row>
    <row r="224" spans="1:4" x14ac:dyDescent="0.25">
      <c r="A224">
        <v>223</v>
      </c>
      <c r="B224">
        <v>318</v>
      </c>
      <c r="C224">
        <v>196</v>
      </c>
      <c r="D224">
        <v>403</v>
      </c>
    </row>
    <row r="225" spans="1:4" x14ac:dyDescent="0.25">
      <c r="A225">
        <v>224</v>
      </c>
      <c r="B225">
        <v>238</v>
      </c>
      <c r="C225">
        <v>293</v>
      </c>
      <c r="D225">
        <v>418</v>
      </c>
    </row>
    <row r="226" spans="1:4" x14ac:dyDescent="0.25">
      <c r="A226">
        <v>225</v>
      </c>
      <c r="B226">
        <v>460</v>
      </c>
      <c r="C226">
        <v>890</v>
      </c>
      <c r="D226">
        <v>593</v>
      </c>
    </row>
    <row r="227" spans="1:4" x14ac:dyDescent="0.25">
      <c r="A227">
        <v>226</v>
      </c>
      <c r="B227">
        <v>574</v>
      </c>
      <c r="C227">
        <v>570</v>
      </c>
      <c r="D227">
        <v>411</v>
      </c>
    </row>
    <row r="228" spans="1:4" x14ac:dyDescent="0.25">
      <c r="A228">
        <v>227</v>
      </c>
      <c r="B228">
        <v>480</v>
      </c>
      <c r="C228">
        <v>368</v>
      </c>
      <c r="D228">
        <v>753</v>
      </c>
    </row>
    <row r="229" spans="1:4" x14ac:dyDescent="0.25">
      <c r="A229">
        <v>228</v>
      </c>
      <c r="B229">
        <v>334</v>
      </c>
      <c r="C229">
        <v>111</v>
      </c>
      <c r="D229">
        <v>388</v>
      </c>
    </row>
    <row r="230" spans="1:4" x14ac:dyDescent="0.25">
      <c r="A230">
        <v>229</v>
      </c>
      <c r="B230">
        <v>466</v>
      </c>
      <c r="C230">
        <v>424</v>
      </c>
      <c r="D230">
        <v>962</v>
      </c>
    </row>
    <row r="231" spans="1:4" x14ac:dyDescent="0.25">
      <c r="A231">
        <v>230</v>
      </c>
      <c r="B231">
        <v>591</v>
      </c>
      <c r="C231">
        <v>533</v>
      </c>
      <c r="D231">
        <v>804</v>
      </c>
    </row>
    <row r="232" spans="1:4" x14ac:dyDescent="0.25">
      <c r="A232">
        <v>231</v>
      </c>
      <c r="B232">
        <v>349</v>
      </c>
      <c r="C232">
        <v>389</v>
      </c>
      <c r="D232">
        <v>931</v>
      </c>
    </row>
    <row r="233" spans="1:4" x14ac:dyDescent="0.25">
      <c r="A233">
        <v>232</v>
      </c>
      <c r="B233">
        <v>519</v>
      </c>
      <c r="C233">
        <v>648</v>
      </c>
      <c r="D233">
        <v>972</v>
      </c>
    </row>
    <row r="234" spans="1:4" x14ac:dyDescent="0.25">
      <c r="A234">
        <v>233</v>
      </c>
      <c r="B234">
        <v>451</v>
      </c>
      <c r="C234">
        <v>454</v>
      </c>
      <c r="D234">
        <v>710</v>
      </c>
    </row>
    <row r="235" spans="1:4" x14ac:dyDescent="0.25">
      <c r="A235">
        <v>234</v>
      </c>
      <c r="B235">
        <v>433</v>
      </c>
      <c r="C235">
        <v>848</v>
      </c>
      <c r="D235">
        <v>698</v>
      </c>
    </row>
    <row r="236" spans="1:4" x14ac:dyDescent="0.25">
      <c r="A236">
        <v>235</v>
      </c>
      <c r="B236">
        <v>875</v>
      </c>
      <c r="C236">
        <v>418</v>
      </c>
      <c r="D236">
        <v>506</v>
      </c>
    </row>
    <row r="237" spans="1:4" x14ac:dyDescent="0.25">
      <c r="A237">
        <v>236</v>
      </c>
      <c r="B237">
        <v>528</v>
      </c>
      <c r="C237">
        <v>180</v>
      </c>
      <c r="D237">
        <v>589</v>
      </c>
    </row>
    <row r="238" spans="1:4" x14ac:dyDescent="0.25">
      <c r="A238">
        <v>237</v>
      </c>
      <c r="B238">
        <v>332</v>
      </c>
      <c r="C238">
        <v>511</v>
      </c>
      <c r="D238">
        <v>839</v>
      </c>
    </row>
    <row r="239" spans="1:4" x14ac:dyDescent="0.25">
      <c r="A239">
        <v>238</v>
      </c>
      <c r="B239">
        <v>435</v>
      </c>
      <c r="C239">
        <v>120</v>
      </c>
      <c r="D239">
        <v>695</v>
      </c>
    </row>
    <row r="240" spans="1:4" x14ac:dyDescent="0.25">
      <c r="A240">
        <v>239</v>
      </c>
      <c r="B240">
        <v>651</v>
      </c>
      <c r="C240">
        <v>695</v>
      </c>
      <c r="D240">
        <v>263</v>
      </c>
    </row>
    <row r="241" spans="1:4" x14ac:dyDescent="0.25">
      <c r="A241">
        <v>240</v>
      </c>
      <c r="B241">
        <v>387</v>
      </c>
      <c r="C241">
        <v>416</v>
      </c>
      <c r="D241">
        <v>222</v>
      </c>
    </row>
    <row r="242" spans="1:4" x14ac:dyDescent="0.25">
      <c r="A242">
        <v>241</v>
      </c>
      <c r="B242">
        <v>438</v>
      </c>
      <c r="C242">
        <v>143</v>
      </c>
      <c r="D242">
        <v>783</v>
      </c>
    </row>
    <row r="243" spans="1:4" x14ac:dyDescent="0.25">
      <c r="A243">
        <v>242</v>
      </c>
      <c r="B243">
        <v>563</v>
      </c>
      <c r="C243">
        <v>375</v>
      </c>
      <c r="D243">
        <v>556</v>
      </c>
    </row>
    <row r="244" spans="1:4" x14ac:dyDescent="0.25">
      <c r="A244">
        <v>243</v>
      </c>
      <c r="B244">
        <v>502</v>
      </c>
      <c r="C244">
        <v>109</v>
      </c>
      <c r="D244">
        <v>886</v>
      </c>
    </row>
    <row r="245" spans="1:4" x14ac:dyDescent="0.25">
      <c r="A245">
        <v>244</v>
      </c>
      <c r="B245">
        <v>553</v>
      </c>
      <c r="C245">
        <v>331</v>
      </c>
      <c r="D245">
        <v>717</v>
      </c>
    </row>
    <row r="246" spans="1:4" x14ac:dyDescent="0.25">
      <c r="A246">
        <v>245</v>
      </c>
      <c r="B246">
        <v>407</v>
      </c>
      <c r="C246">
        <v>769</v>
      </c>
      <c r="D246">
        <v>946</v>
      </c>
    </row>
    <row r="247" spans="1:4" x14ac:dyDescent="0.25">
      <c r="A247">
        <v>246</v>
      </c>
      <c r="B247">
        <v>412</v>
      </c>
      <c r="C247">
        <v>252</v>
      </c>
      <c r="D247">
        <v>577</v>
      </c>
    </row>
    <row r="248" spans="1:4" x14ac:dyDescent="0.25">
      <c r="A248">
        <v>247</v>
      </c>
      <c r="B248">
        <v>491</v>
      </c>
      <c r="C248">
        <v>168</v>
      </c>
      <c r="D248">
        <v>365</v>
      </c>
    </row>
    <row r="249" spans="1:4" x14ac:dyDescent="0.25">
      <c r="A249">
        <v>248</v>
      </c>
      <c r="B249">
        <v>537</v>
      </c>
      <c r="C249">
        <v>232</v>
      </c>
      <c r="D249">
        <v>778</v>
      </c>
    </row>
    <row r="250" spans="1:4" x14ac:dyDescent="0.25">
      <c r="A250">
        <v>249</v>
      </c>
      <c r="B250">
        <v>387</v>
      </c>
      <c r="C250">
        <v>687</v>
      </c>
      <c r="D250">
        <v>532</v>
      </c>
    </row>
    <row r="251" spans="1:4" x14ac:dyDescent="0.25">
      <c r="A251">
        <v>250</v>
      </c>
      <c r="B251">
        <v>594</v>
      </c>
      <c r="C251">
        <v>488</v>
      </c>
      <c r="D251">
        <v>329</v>
      </c>
    </row>
    <row r="252" spans="1:4" x14ac:dyDescent="0.25">
      <c r="A252">
        <v>251</v>
      </c>
      <c r="B252">
        <v>722</v>
      </c>
      <c r="C252">
        <v>527</v>
      </c>
      <c r="D252">
        <v>330</v>
      </c>
    </row>
    <row r="253" spans="1:4" x14ac:dyDescent="0.25">
      <c r="A253">
        <v>252</v>
      </c>
      <c r="B253">
        <v>407</v>
      </c>
      <c r="C253">
        <v>888</v>
      </c>
      <c r="D253">
        <v>368</v>
      </c>
    </row>
    <row r="254" spans="1:4" x14ac:dyDescent="0.25">
      <c r="A254">
        <v>253</v>
      </c>
      <c r="B254">
        <v>604</v>
      </c>
      <c r="C254">
        <v>462</v>
      </c>
      <c r="D254">
        <v>793</v>
      </c>
    </row>
    <row r="255" spans="1:4" x14ac:dyDescent="0.25">
      <c r="A255">
        <v>254</v>
      </c>
      <c r="B255">
        <v>200</v>
      </c>
      <c r="C255">
        <v>857</v>
      </c>
      <c r="D255">
        <v>910</v>
      </c>
    </row>
    <row r="256" spans="1:4" x14ac:dyDescent="0.25">
      <c r="A256">
        <v>255</v>
      </c>
      <c r="B256">
        <v>582</v>
      </c>
      <c r="C256">
        <v>836</v>
      </c>
      <c r="D256">
        <v>828</v>
      </c>
    </row>
    <row r="257" spans="1:4" x14ac:dyDescent="0.25">
      <c r="A257">
        <v>256</v>
      </c>
      <c r="B257">
        <v>519</v>
      </c>
      <c r="C257">
        <v>802</v>
      </c>
      <c r="D257">
        <v>739</v>
      </c>
    </row>
    <row r="258" spans="1:4" x14ac:dyDescent="0.25">
      <c r="A258">
        <v>257</v>
      </c>
      <c r="B258">
        <v>549</v>
      </c>
      <c r="C258">
        <v>302</v>
      </c>
      <c r="D258">
        <v>758</v>
      </c>
    </row>
    <row r="259" spans="1:4" x14ac:dyDescent="0.25">
      <c r="A259">
        <v>258</v>
      </c>
      <c r="B259">
        <v>695</v>
      </c>
      <c r="C259">
        <v>270</v>
      </c>
      <c r="D259">
        <v>270</v>
      </c>
    </row>
    <row r="260" spans="1:4" x14ac:dyDescent="0.25">
      <c r="A260">
        <v>259</v>
      </c>
      <c r="B260">
        <v>328</v>
      </c>
      <c r="C260">
        <v>386</v>
      </c>
      <c r="D260">
        <v>840</v>
      </c>
    </row>
    <row r="261" spans="1:4" x14ac:dyDescent="0.25">
      <c r="A261">
        <v>260</v>
      </c>
      <c r="B261">
        <v>619</v>
      </c>
      <c r="C261">
        <v>847</v>
      </c>
      <c r="D261">
        <v>258</v>
      </c>
    </row>
    <row r="262" spans="1:4" x14ac:dyDescent="0.25">
      <c r="A262">
        <v>261</v>
      </c>
      <c r="B262">
        <v>727</v>
      </c>
      <c r="C262">
        <v>427</v>
      </c>
      <c r="D262">
        <v>824</v>
      </c>
    </row>
    <row r="263" spans="1:4" x14ac:dyDescent="0.25">
      <c r="A263">
        <v>262</v>
      </c>
      <c r="B263">
        <v>315</v>
      </c>
      <c r="C263">
        <v>254</v>
      </c>
      <c r="D263">
        <v>571</v>
      </c>
    </row>
    <row r="264" spans="1:4" x14ac:dyDescent="0.25">
      <c r="A264">
        <v>263</v>
      </c>
      <c r="B264">
        <v>287</v>
      </c>
      <c r="C264">
        <v>880</v>
      </c>
      <c r="D264">
        <v>561</v>
      </c>
    </row>
    <row r="265" spans="1:4" x14ac:dyDescent="0.25">
      <c r="A265">
        <v>264</v>
      </c>
      <c r="B265">
        <v>615</v>
      </c>
      <c r="C265">
        <v>322</v>
      </c>
      <c r="D265">
        <v>547</v>
      </c>
    </row>
    <row r="266" spans="1:4" x14ac:dyDescent="0.25">
      <c r="A266">
        <v>265</v>
      </c>
      <c r="B266">
        <v>453</v>
      </c>
      <c r="C266">
        <v>258</v>
      </c>
      <c r="D266">
        <v>776</v>
      </c>
    </row>
    <row r="267" spans="1:4" x14ac:dyDescent="0.25">
      <c r="A267">
        <v>266</v>
      </c>
      <c r="B267">
        <v>589</v>
      </c>
      <c r="C267">
        <v>844</v>
      </c>
      <c r="D267">
        <v>964</v>
      </c>
    </row>
    <row r="268" spans="1:4" x14ac:dyDescent="0.25">
      <c r="A268">
        <v>267</v>
      </c>
      <c r="B268">
        <v>369</v>
      </c>
      <c r="C268">
        <v>698</v>
      </c>
      <c r="D268">
        <v>595</v>
      </c>
    </row>
    <row r="269" spans="1:4" x14ac:dyDescent="0.25">
      <c r="A269">
        <v>268</v>
      </c>
      <c r="B269">
        <v>435</v>
      </c>
      <c r="C269">
        <v>544</v>
      </c>
      <c r="D269">
        <v>698</v>
      </c>
    </row>
    <row r="270" spans="1:4" x14ac:dyDescent="0.25">
      <c r="A270">
        <v>269</v>
      </c>
      <c r="B270">
        <v>380</v>
      </c>
      <c r="C270">
        <v>288</v>
      </c>
      <c r="D270">
        <v>657</v>
      </c>
    </row>
    <row r="271" spans="1:4" x14ac:dyDescent="0.25">
      <c r="A271">
        <v>270</v>
      </c>
      <c r="B271">
        <v>476</v>
      </c>
      <c r="C271">
        <v>705</v>
      </c>
      <c r="D271">
        <v>898</v>
      </c>
    </row>
    <row r="272" spans="1:4" x14ac:dyDescent="0.25">
      <c r="A272">
        <v>271</v>
      </c>
      <c r="B272">
        <v>453</v>
      </c>
      <c r="C272">
        <v>632</v>
      </c>
      <c r="D272">
        <v>792</v>
      </c>
    </row>
    <row r="273" spans="1:4" x14ac:dyDescent="0.25">
      <c r="A273">
        <v>272</v>
      </c>
      <c r="B273">
        <v>482</v>
      </c>
      <c r="C273">
        <v>351</v>
      </c>
      <c r="D273">
        <v>381</v>
      </c>
    </row>
    <row r="274" spans="1:4" x14ac:dyDescent="0.25">
      <c r="A274">
        <v>273</v>
      </c>
      <c r="B274">
        <v>122</v>
      </c>
      <c r="C274">
        <v>178</v>
      </c>
      <c r="D274">
        <v>556</v>
      </c>
    </row>
    <row r="275" spans="1:4" x14ac:dyDescent="0.25">
      <c r="A275">
        <v>274</v>
      </c>
      <c r="B275">
        <v>579</v>
      </c>
      <c r="C275">
        <v>843</v>
      </c>
      <c r="D275">
        <v>362</v>
      </c>
    </row>
    <row r="276" spans="1:4" x14ac:dyDescent="0.25">
      <c r="A276">
        <v>275</v>
      </c>
      <c r="B276">
        <v>626</v>
      </c>
      <c r="C276">
        <v>682</v>
      </c>
      <c r="D276">
        <v>223</v>
      </c>
    </row>
    <row r="277" spans="1:4" x14ac:dyDescent="0.25">
      <c r="A277">
        <v>276</v>
      </c>
      <c r="B277">
        <v>434</v>
      </c>
      <c r="C277">
        <v>836</v>
      </c>
      <c r="D277">
        <v>600</v>
      </c>
    </row>
    <row r="278" spans="1:4" x14ac:dyDescent="0.25">
      <c r="A278">
        <v>277</v>
      </c>
      <c r="B278">
        <v>570</v>
      </c>
      <c r="C278">
        <v>690</v>
      </c>
      <c r="D278">
        <v>396</v>
      </c>
    </row>
    <row r="279" spans="1:4" x14ac:dyDescent="0.25">
      <c r="A279">
        <v>278</v>
      </c>
      <c r="B279">
        <v>532</v>
      </c>
      <c r="C279">
        <v>400</v>
      </c>
      <c r="D279">
        <v>908</v>
      </c>
    </row>
    <row r="280" spans="1:4" x14ac:dyDescent="0.25">
      <c r="A280">
        <v>279</v>
      </c>
      <c r="B280">
        <v>181</v>
      </c>
      <c r="C280">
        <v>318</v>
      </c>
      <c r="D280">
        <v>927</v>
      </c>
    </row>
    <row r="281" spans="1:4" x14ac:dyDescent="0.25">
      <c r="A281">
        <v>280</v>
      </c>
      <c r="B281">
        <v>736</v>
      </c>
      <c r="C281">
        <v>822</v>
      </c>
      <c r="D281">
        <v>340</v>
      </c>
    </row>
    <row r="282" spans="1:4" x14ac:dyDescent="0.25">
      <c r="A282">
        <v>281</v>
      </c>
      <c r="B282">
        <v>473</v>
      </c>
      <c r="C282">
        <v>188</v>
      </c>
      <c r="D282">
        <v>478</v>
      </c>
    </row>
    <row r="283" spans="1:4" x14ac:dyDescent="0.25">
      <c r="A283">
        <v>282</v>
      </c>
      <c r="B283">
        <v>281</v>
      </c>
      <c r="C283">
        <v>360</v>
      </c>
      <c r="D283">
        <v>960</v>
      </c>
    </row>
    <row r="284" spans="1:4" x14ac:dyDescent="0.25">
      <c r="A284">
        <v>283</v>
      </c>
      <c r="B284">
        <v>647</v>
      </c>
      <c r="C284">
        <v>523</v>
      </c>
      <c r="D284">
        <v>794</v>
      </c>
    </row>
    <row r="285" spans="1:4" x14ac:dyDescent="0.25">
      <c r="A285">
        <v>284</v>
      </c>
      <c r="B285">
        <v>408</v>
      </c>
      <c r="C285">
        <v>226</v>
      </c>
      <c r="D285">
        <v>753</v>
      </c>
    </row>
    <row r="286" spans="1:4" x14ac:dyDescent="0.25">
      <c r="A286">
        <v>285</v>
      </c>
      <c r="B286">
        <v>578</v>
      </c>
      <c r="C286">
        <v>305</v>
      </c>
      <c r="D286">
        <v>282</v>
      </c>
    </row>
    <row r="287" spans="1:4" x14ac:dyDescent="0.25">
      <c r="A287">
        <v>286</v>
      </c>
      <c r="B287">
        <v>308</v>
      </c>
      <c r="C287">
        <v>335</v>
      </c>
      <c r="D287">
        <v>494</v>
      </c>
    </row>
    <row r="288" spans="1:4" x14ac:dyDescent="0.25">
      <c r="A288">
        <v>287</v>
      </c>
      <c r="B288">
        <v>309</v>
      </c>
      <c r="C288">
        <v>659</v>
      </c>
      <c r="D288">
        <v>648</v>
      </c>
    </row>
    <row r="289" spans="1:4" x14ac:dyDescent="0.25">
      <c r="A289">
        <v>288</v>
      </c>
      <c r="B289">
        <v>485</v>
      </c>
      <c r="C289">
        <v>770</v>
      </c>
      <c r="D289">
        <v>474</v>
      </c>
    </row>
    <row r="290" spans="1:4" x14ac:dyDescent="0.25">
      <c r="A290">
        <v>289</v>
      </c>
      <c r="B290">
        <v>459</v>
      </c>
      <c r="C290">
        <v>611</v>
      </c>
      <c r="D290">
        <v>774</v>
      </c>
    </row>
    <row r="291" spans="1:4" x14ac:dyDescent="0.25">
      <c r="A291">
        <v>290</v>
      </c>
      <c r="B291">
        <v>681</v>
      </c>
      <c r="C291">
        <v>240</v>
      </c>
      <c r="D291">
        <v>458</v>
      </c>
    </row>
    <row r="292" spans="1:4" x14ac:dyDescent="0.25">
      <c r="A292">
        <v>291</v>
      </c>
      <c r="B292">
        <v>665</v>
      </c>
      <c r="C292">
        <v>328</v>
      </c>
      <c r="D292">
        <v>617</v>
      </c>
    </row>
    <row r="293" spans="1:4" x14ac:dyDescent="0.25">
      <c r="A293">
        <v>292</v>
      </c>
      <c r="B293">
        <v>389</v>
      </c>
      <c r="C293">
        <v>613</v>
      </c>
      <c r="D293">
        <v>478</v>
      </c>
    </row>
    <row r="294" spans="1:4" x14ac:dyDescent="0.25">
      <c r="A294">
        <v>293</v>
      </c>
      <c r="B294">
        <v>800</v>
      </c>
      <c r="C294">
        <v>774</v>
      </c>
      <c r="D294">
        <v>356</v>
      </c>
    </row>
    <row r="295" spans="1:4" x14ac:dyDescent="0.25">
      <c r="A295">
        <v>294</v>
      </c>
      <c r="B295">
        <v>489</v>
      </c>
      <c r="C295">
        <v>458</v>
      </c>
      <c r="D295">
        <v>537</v>
      </c>
    </row>
    <row r="296" spans="1:4" x14ac:dyDescent="0.25">
      <c r="A296">
        <v>295</v>
      </c>
      <c r="B296">
        <v>312</v>
      </c>
      <c r="C296">
        <v>564</v>
      </c>
      <c r="D296">
        <v>764</v>
      </c>
    </row>
    <row r="297" spans="1:4" x14ac:dyDescent="0.25">
      <c r="A297">
        <v>296</v>
      </c>
      <c r="B297">
        <v>595</v>
      </c>
      <c r="C297">
        <v>631</v>
      </c>
      <c r="D297">
        <v>237</v>
      </c>
    </row>
    <row r="298" spans="1:4" x14ac:dyDescent="0.25">
      <c r="A298">
        <v>297</v>
      </c>
      <c r="B298">
        <v>635</v>
      </c>
      <c r="C298">
        <v>794</v>
      </c>
      <c r="D298">
        <v>574</v>
      </c>
    </row>
    <row r="299" spans="1:4" x14ac:dyDescent="0.25">
      <c r="A299">
        <v>298</v>
      </c>
      <c r="B299">
        <v>637</v>
      </c>
      <c r="C299">
        <v>313</v>
      </c>
      <c r="D299">
        <v>378</v>
      </c>
    </row>
    <row r="300" spans="1:4" x14ac:dyDescent="0.25">
      <c r="A300">
        <v>299</v>
      </c>
      <c r="B300">
        <v>537</v>
      </c>
      <c r="C300">
        <v>111</v>
      </c>
      <c r="D300">
        <v>616</v>
      </c>
    </row>
    <row r="301" spans="1:4" x14ac:dyDescent="0.25">
      <c r="A301">
        <v>300</v>
      </c>
      <c r="B301">
        <v>687</v>
      </c>
      <c r="C301">
        <v>858</v>
      </c>
      <c r="D301">
        <v>560</v>
      </c>
    </row>
    <row r="302" spans="1:4" x14ac:dyDescent="0.25">
      <c r="A302">
        <v>301</v>
      </c>
      <c r="B302">
        <v>436</v>
      </c>
      <c r="C302">
        <v>631</v>
      </c>
      <c r="D302">
        <v>360</v>
      </c>
    </row>
    <row r="303" spans="1:4" x14ac:dyDescent="0.25">
      <c r="A303">
        <v>302</v>
      </c>
      <c r="B303">
        <v>460</v>
      </c>
      <c r="C303">
        <v>404</v>
      </c>
      <c r="D303">
        <v>857</v>
      </c>
    </row>
    <row r="304" spans="1:4" x14ac:dyDescent="0.25">
      <c r="A304">
        <v>303</v>
      </c>
      <c r="B304">
        <v>191</v>
      </c>
      <c r="C304">
        <v>890</v>
      </c>
      <c r="D304">
        <v>394</v>
      </c>
    </row>
    <row r="305" spans="1:4" x14ac:dyDescent="0.25">
      <c r="A305">
        <v>304</v>
      </c>
      <c r="B305">
        <v>523</v>
      </c>
      <c r="C305">
        <v>862</v>
      </c>
      <c r="D305">
        <v>890</v>
      </c>
    </row>
    <row r="306" spans="1:4" x14ac:dyDescent="0.25">
      <c r="A306">
        <v>305</v>
      </c>
      <c r="B306">
        <v>667</v>
      </c>
      <c r="C306">
        <v>691</v>
      </c>
      <c r="D306">
        <v>443</v>
      </c>
    </row>
    <row r="307" spans="1:4" x14ac:dyDescent="0.25">
      <c r="A307">
        <v>306</v>
      </c>
      <c r="B307">
        <v>294</v>
      </c>
      <c r="C307">
        <v>188</v>
      </c>
      <c r="D307">
        <v>239</v>
      </c>
    </row>
    <row r="308" spans="1:4" x14ac:dyDescent="0.25">
      <c r="A308">
        <v>307</v>
      </c>
      <c r="B308">
        <v>429</v>
      </c>
      <c r="C308">
        <v>151</v>
      </c>
      <c r="D308">
        <v>632</v>
      </c>
    </row>
    <row r="309" spans="1:4" x14ac:dyDescent="0.25">
      <c r="A309">
        <v>308</v>
      </c>
      <c r="B309">
        <v>767</v>
      </c>
      <c r="C309">
        <v>391</v>
      </c>
      <c r="D309">
        <v>422</v>
      </c>
    </row>
    <row r="310" spans="1:4" x14ac:dyDescent="0.25">
      <c r="A310">
        <v>309</v>
      </c>
      <c r="B310">
        <v>318</v>
      </c>
      <c r="C310">
        <v>123</v>
      </c>
      <c r="D310">
        <v>547</v>
      </c>
    </row>
    <row r="311" spans="1:4" x14ac:dyDescent="0.25">
      <c r="A311">
        <v>310</v>
      </c>
      <c r="B311">
        <v>414</v>
      </c>
      <c r="C311">
        <v>728</v>
      </c>
      <c r="D311">
        <v>728</v>
      </c>
    </row>
    <row r="312" spans="1:4" x14ac:dyDescent="0.25">
      <c r="A312">
        <v>311</v>
      </c>
      <c r="B312">
        <v>644</v>
      </c>
      <c r="C312">
        <v>314</v>
      </c>
      <c r="D312">
        <v>850</v>
      </c>
    </row>
    <row r="313" spans="1:4" x14ac:dyDescent="0.25">
      <c r="A313">
        <v>312</v>
      </c>
      <c r="B313">
        <v>545</v>
      </c>
      <c r="C313">
        <v>115</v>
      </c>
      <c r="D313">
        <v>279</v>
      </c>
    </row>
    <row r="314" spans="1:4" x14ac:dyDescent="0.25">
      <c r="A314">
        <v>313</v>
      </c>
      <c r="B314">
        <v>435</v>
      </c>
      <c r="C314">
        <v>853</v>
      </c>
      <c r="D314">
        <v>509</v>
      </c>
    </row>
    <row r="315" spans="1:4" x14ac:dyDescent="0.25">
      <c r="A315">
        <v>314</v>
      </c>
      <c r="B315">
        <v>441</v>
      </c>
      <c r="C315">
        <v>606</v>
      </c>
      <c r="D315">
        <v>955</v>
      </c>
    </row>
    <row r="316" spans="1:4" x14ac:dyDescent="0.25">
      <c r="A316">
        <v>315</v>
      </c>
      <c r="B316">
        <v>392</v>
      </c>
      <c r="C316">
        <v>305</v>
      </c>
      <c r="D316">
        <v>727</v>
      </c>
    </row>
    <row r="317" spans="1:4" x14ac:dyDescent="0.25">
      <c r="A317">
        <v>316</v>
      </c>
      <c r="B317">
        <v>347</v>
      </c>
      <c r="C317">
        <v>811</v>
      </c>
      <c r="D317">
        <v>901</v>
      </c>
    </row>
    <row r="318" spans="1:4" x14ac:dyDescent="0.25">
      <c r="A318">
        <v>317</v>
      </c>
      <c r="B318">
        <v>362</v>
      </c>
      <c r="C318">
        <v>128</v>
      </c>
      <c r="D318">
        <v>626</v>
      </c>
    </row>
    <row r="319" spans="1:4" x14ac:dyDescent="0.25">
      <c r="A319">
        <v>318</v>
      </c>
      <c r="B319">
        <v>325</v>
      </c>
      <c r="C319">
        <v>750</v>
      </c>
      <c r="D319">
        <v>750</v>
      </c>
    </row>
    <row r="320" spans="1:4" x14ac:dyDescent="0.25">
      <c r="A320">
        <v>319</v>
      </c>
      <c r="B320">
        <v>537</v>
      </c>
      <c r="C320">
        <v>803</v>
      </c>
      <c r="D320">
        <v>641</v>
      </c>
    </row>
    <row r="321" spans="1:4" x14ac:dyDescent="0.25">
      <c r="A321">
        <v>320</v>
      </c>
      <c r="B321">
        <v>469</v>
      </c>
      <c r="C321">
        <v>255</v>
      </c>
      <c r="D321">
        <v>720</v>
      </c>
    </row>
    <row r="322" spans="1:4" x14ac:dyDescent="0.25">
      <c r="A322">
        <v>321</v>
      </c>
      <c r="B322">
        <v>389</v>
      </c>
      <c r="C322">
        <v>475</v>
      </c>
      <c r="D322">
        <v>610</v>
      </c>
    </row>
    <row r="323" spans="1:4" x14ac:dyDescent="0.25">
      <c r="A323">
        <v>322</v>
      </c>
      <c r="B323">
        <v>349</v>
      </c>
      <c r="C323">
        <v>785</v>
      </c>
      <c r="D323">
        <v>820</v>
      </c>
    </row>
    <row r="324" spans="1:4" x14ac:dyDescent="0.25">
      <c r="A324">
        <v>323</v>
      </c>
      <c r="B324">
        <v>286</v>
      </c>
      <c r="C324">
        <v>506</v>
      </c>
      <c r="D324">
        <v>915</v>
      </c>
    </row>
    <row r="325" spans="1:4" x14ac:dyDescent="0.25">
      <c r="A325">
        <v>324</v>
      </c>
      <c r="B325">
        <v>544</v>
      </c>
      <c r="C325">
        <v>851</v>
      </c>
      <c r="D325">
        <v>823</v>
      </c>
    </row>
    <row r="326" spans="1:4" x14ac:dyDescent="0.25">
      <c r="A326">
        <v>325</v>
      </c>
      <c r="B326">
        <v>417</v>
      </c>
      <c r="C326">
        <v>534</v>
      </c>
      <c r="D326">
        <v>743</v>
      </c>
    </row>
    <row r="327" spans="1:4" x14ac:dyDescent="0.25">
      <c r="A327">
        <v>326</v>
      </c>
      <c r="B327">
        <v>378</v>
      </c>
      <c r="C327">
        <v>697</v>
      </c>
      <c r="D327">
        <v>643</v>
      </c>
    </row>
    <row r="328" spans="1:4" x14ac:dyDescent="0.25">
      <c r="A328">
        <v>327</v>
      </c>
      <c r="B328">
        <v>541</v>
      </c>
      <c r="C328">
        <v>529</v>
      </c>
      <c r="D328">
        <v>621</v>
      </c>
    </row>
    <row r="329" spans="1:4" x14ac:dyDescent="0.25">
      <c r="A329">
        <v>328</v>
      </c>
      <c r="B329">
        <v>638</v>
      </c>
      <c r="C329">
        <v>627</v>
      </c>
      <c r="D329">
        <v>871</v>
      </c>
    </row>
    <row r="330" spans="1:4" x14ac:dyDescent="0.25">
      <c r="A330">
        <v>329</v>
      </c>
      <c r="B330">
        <v>430</v>
      </c>
      <c r="C330">
        <v>876</v>
      </c>
      <c r="D330">
        <v>561</v>
      </c>
    </row>
    <row r="331" spans="1:4" x14ac:dyDescent="0.25">
      <c r="A331">
        <v>330</v>
      </c>
      <c r="B331">
        <v>705</v>
      </c>
      <c r="C331">
        <v>600</v>
      </c>
      <c r="D331">
        <v>881</v>
      </c>
    </row>
    <row r="332" spans="1:4" x14ac:dyDescent="0.25">
      <c r="A332">
        <v>331</v>
      </c>
      <c r="B332">
        <v>682</v>
      </c>
      <c r="C332">
        <v>722</v>
      </c>
      <c r="D332">
        <v>271</v>
      </c>
    </row>
    <row r="333" spans="1:4" x14ac:dyDescent="0.25">
      <c r="A333">
        <v>332</v>
      </c>
      <c r="B333">
        <v>579</v>
      </c>
      <c r="C333">
        <v>346</v>
      </c>
      <c r="D333">
        <v>824</v>
      </c>
    </row>
    <row r="334" spans="1:4" x14ac:dyDescent="0.25">
      <c r="A334">
        <v>333</v>
      </c>
      <c r="B334">
        <v>717</v>
      </c>
      <c r="C334">
        <v>686</v>
      </c>
      <c r="D334">
        <v>482</v>
      </c>
    </row>
    <row r="335" spans="1:4" x14ac:dyDescent="0.25">
      <c r="A335">
        <v>334</v>
      </c>
      <c r="B335">
        <v>626</v>
      </c>
      <c r="C335">
        <v>587</v>
      </c>
      <c r="D335">
        <v>790</v>
      </c>
    </row>
    <row r="336" spans="1:4" x14ac:dyDescent="0.25">
      <c r="A336">
        <v>335</v>
      </c>
      <c r="B336">
        <v>385</v>
      </c>
      <c r="C336">
        <v>235</v>
      </c>
      <c r="D336">
        <v>221</v>
      </c>
    </row>
    <row r="337" spans="1:4" x14ac:dyDescent="0.25">
      <c r="A337">
        <v>336</v>
      </c>
      <c r="B337">
        <v>394</v>
      </c>
      <c r="C337">
        <v>893</v>
      </c>
      <c r="D337">
        <v>580</v>
      </c>
    </row>
    <row r="338" spans="1:4" x14ac:dyDescent="0.25">
      <c r="A338">
        <v>337</v>
      </c>
      <c r="B338">
        <v>642</v>
      </c>
      <c r="C338">
        <v>623</v>
      </c>
      <c r="D338">
        <v>312</v>
      </c>
    </row>
    <row r="339" spans="1:4" x14ac:dyDescent="0.25">
      <c r="A339">
        <v>338</v>
      </c>
      <c r="B339">
        <v>750</v>
      </c>
      <c r="C339">
        <v>114</v>
      </c>
      <c r="D339">
        <v>313</v>
      </c>
    </row>
    <row r="340" spans="1:4" x14ac:dyDescent="0.25">
      <c r="A340">
        <v>339</v>
      </c>
      <c r="B340">
        <v>605</v>
      </c>
      <c r="C340">
        <v>810</v>
      </c>
      <c r="D340">
        <v>793</v>
      </c>
    </row>
    <row r="341" spans="1:4" x14ac:dyDescent="0.25">
      <c r="A341">
        <v>340</v>
      </c>
      <c r="B341">
        <v>564</v>
      </c>
      <c r="C341">
        <v>611</v>
      </c>
      <c r="D341">
        <v>473</v>
      </c>
    </row>
    <row r="342" spans="1:4" x14ac:dyDescent="0.25">
      <c r="A342">
        <v>341</v>
      </c>
      <c r="B342">
        <v>672</v>
      </c>
      <c r="C342">
        <v>105</v>
      </c>
      <c r="D342">
        <v>440</v>
      </c>
    </row>
    <row r="343" spans="1:4" x14ac:dyDescent="0.25">
      <c r="A343">
        <v>342</v>
      </c>
      <c r="B343">
        <v>759</v>
      </c>
      <c r="C343">
        <v>600</v>
      </c>
      <c r="D343">
        <v>415</v>
      </c>
    </row>
    <row r="344" spans="1:4" x14ac:dyDescent="0.25">
      <c r="A344">
        <v>343</v>
      </c>
      <c r="B344">
        <v>507</v>
      </c>
      <c r="C344">
        <v>820</v>
      </c>
      <c r="D344">
        <v>881</v>
      </c>
    </row>
    <row r="345" spans="1:4" x14ac:dyDescent="0.25">
      <c r="A345">
        <v>344</v>
      </c>
      <c r="B345">
        <v>468</v>
      </c>
      <c r="C345">
        <v>478</v>
      </c>
      <c r="D345">
        <v>802</v>
      </c>
    </row>
    <row r="346" spans="1:4" x14ac:dyDescent="0.25">
      <c r="A346">
        <v>345</v>
      </c>
      <c r="B346">
        <v>349</v>
      </c>
      <c r="C346">
        <v>891</v>
      </c>
      <c r="D346">
        <v>230</v>
      </c>
    </row>
    <row r="347" spans="1:4" x14ac:dyDescent="0.25">
      <c r="A347">
        <v>346</v>
      </c>
      <c r="B347">
        <v>624</v>
      </c>
      <c r="C347">
        <v>151</v>
      </c>
      <c r="D347">
        <v>781</v>
      </c>
    </row>
    <row r="348" spans="1:4" x14ac:dyDescent="0.25">
      <c r="A348">
        <v>347</v>
      </c>
      <c r="B348">
        <v>468</v>
      </c>
      <c r="C348">
        <v>245</v>
      </c>
      <c r="D348">
        <v>385</v>
      </c>
    </row>
    <row r="349" spans="1:4" x14ac:dyDescent="0.25">
      <c r="A349">
        <v>348</v>
      </c>
      <c r="B349">
        <v>358</v>
      </c>
      <c r="C349">
        <v>224</v>
      </c>
      <c r="D349">
        <v>341</v>
      </c>
    </row>
    <row r="350" spans="1:4" x14ac:dyDescent="0.25">
      <c r="A350">
        <v>349</v>
      </c>
      <c r="B350">
        <v>605</v>
      </c>
      <c r="C350">
        <v>601</v>
      </c>
      <c r="D350">
        <v>681</v>
      </c>
    </row>
    <row r="351" spans="1:4" x14ac:dyDescent="0.25">
      <c r="A351">
        <v>350</v>
      </c>
      <c r="B351">
        <v>254</v>
      </c>
      <c r="C351">
        <v>758</v>
      </c>
      <c r="D351">
        <v>904</v>
      </c>
    </row>
    <row r="352" spans="1:4" x14ac:dyDescent="0.25">
      <c r="A352">
        <v>351</v>
      </c>
      <c r="B352">
        <v>482</v>
      </c>
      <c r="C352">
        <v>835</v>
      </c>
      <c r="D352">
        <v>570</v>
      </c>
    </row>
    <row r="353" spans="1:4" x14ac:dyDescent="0.25">
      <c r="A353">
        <v>352</v>
      </c>
      <c r="B353">
        <v>284</v>
      </c>
      <c r="C353">
        <v>878</v>
      </c>
      <c r="D353">
        <v>738</v>
      </c>
    </row>
    <row r="354" spans="1:4" x14ac:dyDescent="0.25">
      <c r="A354">
        <v>353</v>
      </c>
      <c r="B354">
        <v>413</v>
      </c>
      <c r="C354">
        <v>298</v>
      </c>
      <c r="D354">
        <v>362</v>
      </c>
    </row>
    <row r="355" spans="1:4" x14ac:dyDescent="0.25">
      <c r="A355">
        <v>354</v>
      </c>
      <c r="B355">
        <v>507</v>
      </c>
      <c r="C355">
        <v>533</v>
      </c>
      <c r="D355">
        <v>766</v>
      </c>
    </row>
    <row r="356" spans="1:4" x14ac:dyDescent="0.25">
      <c r="A356">
        <v>355</v>
      </c>
      <c r="B356">
        <v>590</v>
      </c>
      <c r="C356">
        <v>693</v>
      </c>
      <c r="D356">
        <v>825</v>
      </c>
    </row>
    <row r="357" spans="1:4" x14ac:dyDescent="0.25">
      <c r="A357">
        <v>356</v>
      </c>
      <c r="B357">
        <v>614</v>
      </c>
      <c r="C357">
        <v>562</v>
      </c>
      <c r="D357">
        <v>545</v>
      </c>
    </row>
    <row r="358" spans="1:4" x14ac:dyDescent="0.25">
      <c r="A358">
        <v>357</v>
      </c>
      <c r="B358">
        <v>263</v>
      </c>
      <c r="C358">
        <v>454</v>
      </c>
      <c r="D358">
        <v>499</v>
      </c>
    </row>
    <row r="359" spans="1:4" x14ac:dyDescent="0.25">
      <c r="A359">
        <v>358</v>
      </c>
      <c r="B359">
        <v>501</v>
      </c>
      <c r="C359">
        <v>216</v>
      </c>
      <c r="D359">
        <v>829</v>
      </c>
    </row>
    <row r="360" spans="1:4" x14ac:dyDescent="0.25">
      <c r="A360">
        <v>359</v>
      </c>
      <c r="B360">
        <v>692</v>
      </c>
      <c r="C360">
        <v>604</v>
      </c>
      <c r="D360">
        <v>971</v>
      </c>
    </row>
    <row r="361" spans="1:4" x14ac:dyDescent="0.25">
      <c r="A361">
        <v>360</v>
      </c>
      <c r="B361">
        <v>450</v>
      </c>
      <c r="C361">
        <v>602</v>
      </c>
      <c r="D361">
        <v>736</v>
      </c>
    </row>
    <row r="362" spans="1:4" x14ac:dyDescent="0.25">
      <c r="A362">
        <v>361</v>
      </c>
      <c r="B362">
        <v>646</v>
      </c>
      <c r="C362">
        <v>236</v>
      </c>
      <c r="D362">
        <v>893</v>
      </c>
    </row>
    <row r="363" spans="1:4" x14ac:dyDescent="0.25">
      <c r="A363">
        <v>362</v>
      </c>
      <c r="B363">
        <v>584</v>
      </c>
      <c r="C363">
        <v>398</v>
      </c>
      <c r="D363">
        <v>785</v>
      </c>
    </row>
    <row r="364" spans="1:4" x14ac:dyDescent="0.25">
      <c r="A364">
        <v>363</v>
      </c>
      <c r="B364">
        <v>415</v>
      </c>
      <c r="C364">
        <v>747</v>
      </c>
      <c r="D364">
        <v>777</v>
      </c>
    </row>
    <row r="365" spans="1:4" x14ac:dyDescent="0.25">
      <c r="A365">
        <v>364</v>
      </c>
      <c r="B365">
        <v>635</v>
      </c>
      <c r="C365">
        <v>396</v>
      </c>
      <c r="D365">
        <v>208</v>
      </c>
    </row>
    <row r="366" spans="1:4" x14ac:dyDescent="0.25">
      <c r="A366">
        <v>365</v>
      </c>
      <c r="B366">
        <v>245</v>
      </c>
      <c r="C366">
        <v>116</v>
      </c>
      <c r="D366">
        <v>374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6FCC4-063D-4CC4-B505-BFF905C30CDC}">
  <sheetPr codeName="Sheet5"/>
  <dimension ref="B1:S36"/>
  <sheetViews>
    <sheetView workbookViewId="0">
      <selection activeCell="W19" sqref="W19"/>
    </sheetView>
  </sheetViews>
  <sheetFormatPr defaultRowHeight="15" x14ac:dyDescent="0.25"/>
  <cols>
    <col min="1" max="1" width="2.7109375" customWidth="1"/>
  </cols>
  <sheetData>
    <row r="1" spans="2:19" ht="15.75" thickBot="1" x14ac:dyDescent="0.3"/>
    <row r="2" spans="2:19" x14ac:dyDescent="0.25">
      <c r="B2" s="74"/>
      <c r="C2" s="75"/>
      <c r="D2" s="75"/>
      <c r="E2" s="75"/>
      <c r="F2" s="76"/>
      <c r="G2" s="59" t="s">
        <v>5</v>
      </c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10"/>
    </row>
    <row r="3" spans="2:19" x14ac:dyDescent="0.25">
      <c r="B3" s="77"/>
      <c r="C3" s="78"/>
      <c r="D3" s="78"/>
      <c r="E3" s="78"/>
      <c r="F3" s="79"/>
      <c r="G3" s="111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3"/>
    </row>
    <row r="4" spans="2:19" x14ac:dyDescent="0.25">
      <c r="B4" s="77"/>
      <c r="C4" s="78"/>
      <c r="D4" s="78"/>
      <c r="E4" s="78"/>
      <c r="F4" s="79"/>
      <c r="G4" s="111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3"/>
    </row>
    <row r="5" spans="2:19" x14ac:dyDescent="0.25">
      <c r="B5" s="77"/>
      <c r="C5" s="78"/>
      <c r="D5" s="78"/>
      <c r="E5" s="78"/>
      <c r="F5" s="79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3"/>
    </row>
    <row r="6" spans="2:19" ht="15.75" thickBot="1" x14ac:dyDescent="0.3">
      <c r="B6" s="80"/>
      <c r="C6" s="81"/>
      <c r="D6" s="81"/>
      <c r="E6" s="81"/>
      <c r="F6" s="82"/>
      <c r="G6" s="114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6"/>
    </row>
    <row r="7" spans="2:19" ht="15.75" thickBot="1" x14ac:dyDescent="0.3"/>
    <row r="8" spans="2:19" x14ac:dyDescent="0.25">
      <c r="B8" s="74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6"/>
    </row>
    <row r="9" spans="2:19" x14ac:dyDescent="0.25">
      <c r="B9" s="77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9"/>
    </row>
    <row r="10" spans="2:19" x14ac:dyDescent="0.25">
      <c r="B10" s="77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9"/>
    </row>
    <row r="11" spans="2:19" x14ac:dyDescent="0.25">
      <c r="B11" s="77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9"/>
    </row>
    <row r="12" spans="2:19" x14ac:dyDescent="0.25">
      <c r="B12" s="77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9"/>
    </row>
    <row r="13" spans="2:19" x14ac:dyDescent="0.25">
      <c r="B13" s="77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9"/>
    </row>
    <row r="14" spans="2:19" x14ac:dyDescent="0.25">
      <c r="B14" s="77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9"/>
    </row>
    <row r="15" spans="2:19" x14ac:dyDescent="0.25">
      <c r="B15" s="77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9"/>
    </row>
    <row r="16" spans="2:19" x14ac:dyDescent="0.25">
      <c r="B16" s="77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9"/>
    </row>
    <row r="17" spans="2:19" x14ac:dyDescent="0.25">
      <c r="B17" s="77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9"/>
    </row>
    <row r="18" spans="2:19" x14ac:dyDescent="0.25">
      <c r="B18" s="77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9"/>
    </row>
    <row r="19" spans="2:19" x14ac:dyDescent="0.25">
      <c r="B19" s="77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9"/>
    </row>
    <row r="20" spans="2:19" x14ac:dyDescent="0.25">
      <c r="B20" s="77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9"/>
    </row>
    <row r="21" spans="2:19" x14ac:dyDescent="0.25">
      <c r="B21" s="77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9"/>
    </row>
    <row r="22" spans="2:19" x14ac:dyDescent="0.25">
      <c r="B22" s="77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9"/>
    </row>
    <row r="23" spans="2:19" x14ac:dyDescent="0.25">
      <c r="B23" s="77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9"/>
    </row>
    <row r="24" spans="2:19" x14ac:dyDescent="0.25">
      <c r="B24" s="77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9"/>
    </row>
    <row r="25" spans="2:19" x14ac:dyDescent="0.25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9"/>
    </row>
    <row r="26" spans="2:19" x14ac:dyDescent="0.25">
      <c r="B26" s="77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9"/>
    </row>
    <row r="27" spans="2:19" x14ac:dyDescent="0.2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9"/>
    </row>
    <row r="28" spans="2:19" x14ac:dyDescent="0.25">
      <c r="B28" s="77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9"/>
    </row>
    <row r="29" spans="2:19" x14ac:dyDescent="0.25">
      <c r="B29" s="77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9"/>
    </row>
    <row r="30" spans="2:19" x14ac:dyDescent="0.25">
      <c r="B30" s="77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9"/>
    </row>
    <row r="31" spans="2:19" x14ac:dyDescent="0.25">
      <c r="B31" s="77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9"/>
    </row>
    <row r="32" spans="2:19" x14ac:dyDescent="0.25">
      <c r="B32" s="77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9"/>
    </row>
    <row r="33" spans="2:19" x14ac:dyDescent="0.25">
      <c r="B33" s="77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9"/>
    </row>
    <row r="34" spans="2:19" x14ac:dyDescent="0.25">
      <c r="B34" s="77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9"/>
    </row>
    <row r="35" spans="2:19" x14ac:dyDescent="0.25">
      <c r="B35" s="77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9"/>
    </row>
    <row r="36" spans="2:19" ht="15.75" thickBot="1" x14ac:dyDescent="0.3">
      <c r="B36" s="80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2"/>
    </row>
  </sheetData>
  <mergeCells count="3">
    <mergeCell ref="B2:F6"/>
    <mergeCell ref="G2:S6"/>
    <mergeCell ref="B8:S3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C5B705-5F34-4232-8555-93BAAFB01B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Manager Sheet</vt:lpstr>
      <vt:lpstr>Constants Sheet</vt:lpstr>
      <vt:lpstr>Calculation Sheet</vt:lpstr>
      <vt:lpstr>Data Sheet</vt:lpstr>
      <vt:lpstr>Documentation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Mepham</dc:creator>
  <cp:lastModifiedBy>Robert Mepham</cp:lastModifiedBy>
  <dcterms:created xsi:type="dcterms:W3CDTF">2024-04-01T19:40:49Z</dcterms:created>
  <dcterms:modified xsi:type="dcterms:W3CDTF">2024-04-11T15:17:23Z</dcterms:modified>
</cp:coreProperties>
</file>